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51196F13-6AD0-C1B8-E2B4-A1F9AE17003E}"/>
  <workbookPr codeName="ThisWorkbook"/>
  <mc:AlternateContent xmlns:mc="http://schemas.openxmlformats.org/markup-compatibility/2006">
    <mc:Choice Requires="x15">
      <x15ac:absPath xmlns:x15ac="http://schemas.microsoft.com/office/spreadsheetml/2010/11/ac" url="/Users/yongsungahn/Downloads/"/>
    </mc:Choice>
  </mc:AlternateContent>
  <xr:revisionPtr revIDLastSave="0" documentId="13_ncr:1_{00F372DB-3F9C-104D-BE8D-C1B790381F55}" xr6:coauthVersionLast="47" xr6:coauthVersionMax="47" xr10:uidLastSave="{00000000-0000-0000-0000-000000000000}"/>
  <bookViews>
    <workbookView xWindow="0" yWindow="500" windowWidth="28800" windowHeight="15720" tabRatio="636" activeTab="1" xr2:uid="{00000000-000D-0000-FFFF-FFFF00000000}"/>
  </bookViews>
  <sheets>
    <sheet name="Help" sheetId="9" r:id="rId1"/>
    <sheet name="Schedule" sheetId="31" r:id="rId2"/>
    <sheet name="Progress" sheetId="3" r:id="rId3"/>
    <sheet name="AnalysisReport" sheetId="4" r:id="rId4"/>
    <sheet name="Calendar" sheetId="5" r:id="rId5"/>
    <sheet name="TranslatedLanguages" sheetId="7" state="hidden" r:id="rId6"/>
    <sheet name="Workload" sheetId="8" r:id="rId7"/>
    <sheet name="Settings" sheetId="6" state="veryHidden" r:id="rId8"/>
  </sheets>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_xlnm.Print_Area" localSheetId="1">Schedule!$D$1:$AU$256</definedName>
    <definedName name="RATE_GAP">Progress!$B$24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STD_CAL">Calendar!$B$5:$B$304</definedName>
    <definedName name="TOTAL_WORKLOAD">Progress!$B$6</definedName>
    <definedName name="UD_CAL1">Calendar!$E$5:$E$304</definedName>
    <definedName name="UD_CAL2">Calendar!$H$5:$H$304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H5" i="31" l="1"/>
  <c r="AK5" i="31"/>
  <c r="AH6" i="31"/>
  <c r="AJ6" i="31"/>
  <c r="AH7" i="31"/>
  <c r="AJ7" i="31"/>
  <c r="AG8" i="31"/>
  <c r="AG9" i="31"/>
  <c r="AG10" i="31"/>
  <c r="AG11" i="31"/>
  <c r="AG12" i="31"/>
  <c r="AH13" i="31"/>
  <c r="AI13" i="31"/>
  <c r="AH14" i="31"/>
  <c r="AI14" i="31"/>
  <c r="AH15" i="31"/>
  <c r="AI15" i="31"/>
  <c r="AH16" i="31"/>
  <c r="AI16" i="31"/>
  <c r="AI17" i="31"/>
  <c r="AI18" i="31"/>
  <c r="AI19" i="31"/>
  <c r="AI20" i="31"/>
  <c r="AG21" i="31"/>
  <c r="AJ21" i="31"/>
  <c r="AG22" i="31"/>
  <c r="AF23" i="31"/>
  <c r="AG24" i="31"/>
  <c r="AF25" i="31"/>
  <c r="AG26" i="31"/>
  <c r="AH26" i="31"/>
  <c r="AF27" i="31"/>
  <c r="AF28" i="31"/>
  <c r="AG29" i="31"/>
  <c r="AG30" i="31"/>
  <c r="AF31" i="31"/>
  <c r="AG32" i="31"/>
  <c r="AG33" i="31"/>
  <c r="AI33" i="31"/>
  <c r="AG34" i="31"/>
  <c r="AI34" i="31"/>
  <c r="AG35" i="31"/>
  <c r="AI35" i="31"/>
  <c r="AF36" i="31"/>
  <c r="AF37" i="31"/>
  <c r="AI37" i="31"/>
  <c r="AG38" i="31"/>
  <c r="AH39" i="31"/>
  <c r="AH40" i="31"/>
  <c r="AH41" i="31"/>
  <c r="AG42" i="31"/>
  <c r="AH43" i="31"/>
  <c r="AH44" i="31"/>
  <c r="AH45" i="31"/>
  <c r="AH46" i="31"/>
  <c r="AI47" i="31"/>
  <c r="AG48" i="31"/>
  <c r="AG49" i="31"/>
  <c r="AH50" i="31"/>
  <c r="AH51" i="31"/>
  <c r="AH52" i="31"/>
  <c r="AH53" i="31"/>
  <c r="AH54" i="31"/>
  <c r="AH55" i="31"/>
  <c r="AH56" i="31"/>
  <c r="AH57" i="31"/>
  <c r="AH58" i="31"/>
  <c r="AH59" i="31"/>
  <c r="AG60" i="31"/>
  <c r="AG61" i="31"/>
  <c r="AI61" i="31"/>
  <c r="AG62" i="31"/>
  <c r="AG63" i="31"/>
  <c r="AF64" i="31"/>
  <c r="AF65" i="31"/>
  <c r="AH66" i="31"/>
  <c r="AH67" i="31"/>
  <c r="AH68" i="31"/>
  <c r="AH69" i="31"/>
  <c r="AH70" i="31"/>
  <c r="AI70" i="31"/>
  <c r="AG71" i="31"/>
  <c r="AG72" i="31"/>
  <c r="AI73" i="31"/>
  <c r="AI74" i="31"/>
  <c r="AH75" i="31"/>
  <c r="AI75" i="31"/>
  <c r="AH76" i="31"/>
  <c r="AH77" i="31"/>
  <c r="AI78" i="31"/>
  <c r="AI79" i="31"/>
  <c r="AH80" i="31"/>
  <c r="AH81" i="31"/>
  <c r="AH82" i="31"/>
  <c r="AH83" i="31"/>
  <c r="AI84" i="31"/>
  <c r="AI85" i="31"/>
  <c r="AI86" i="31"/>
  <c r="AI87" i="31"/>
  <c r="AI88" i="31"/>
  <c r="AI89" i="31"/>
  <c r="AI90" i="31"/>
  <c r="AI91" i="31"/>
  <c r="AI92" i="31"/>
  <c r="AI93" i="31"/>
  <c r="AI94" i="31"/>
  <c r="AI95" i="31"/>
  <c r="AH96" i="31"/>
  <c r="AK96" i="31"/>
  <c r="AH97" i="31"/>
  <c r="AI97" i="31"/>
  <c r="AF98" i="31"/>
  <c r="AH99" i="31"/>
  <c r="AI99" i="31"/>
  <c r="AH100" i="31"/>
  <c r="AI100" i="31"/>
  <c r="AF101" i="31"/>
  <c r="AF102" i="31"/>
  <c r="AG103" i="31"/>
  <c r="AH104" i="31"/>
  <c r="AI104" i="31"/>
  <c r="AG105" i="31"/>
  <c r="AF106" i="31"/>
  <c r="AG107" i="31"/>
  <c r="AG108" i="31"/>
  <c r="AI109" i="31"/>
  <c r="AG110" i="31"/>
  <c r="AG111" i="31"/>
  <c r="AH112" i="31"/>
  <c r="AG113" i="31"/>
  <c r="AG114" i="31"/>
  <c r="AG115" i="31"/>
  <c r="AG116" i="31"/>
  <c r="AH117" i="31"/>
  <c r="AH118" i="31"/>
  <c r="AH119" i="31"/>
  <c r="AH120" i="31"/>
  <c r="AH121" i="31"/>
  <c r="AI122" i="31"/>
  <c r="AG123" i="31"/>
  <c r="AF124" i="31"/>
  <c r="AF125" i="31"/>
  <c r="AG126" i="31"/>
  <c r="AG127" i="31"/>
  <c r="AH128" i="31"/>
  <c r="AF129" i="31"/>
  <c r="AH130" i="31"/>
  <c r="AG131" i="31"/>
  <c r="AG132" i="31"/>
  <c r="AG133" i="31"/>
  <c r="AH134" i="31"/>
  <c r="AI134" i="31"/>
  <c r="AG135" i="31"/>
  <c r="AG136" i="31"/>
  <c r="AG137" i="31"/>
  <c r="AG138" i="31"/>
  <c r="AG139" i="31"/>
  <c r="AG140" i="31"/>
  <c r="AG141" i="31"/>
  <c r="AH142" i="31"/>
  <c r="AI142" i="31"/>
  <c r="AI143" i="31"/>
  <c r="AI144" i="31"/>
  <c r="AI145" i="31"/>
  <c r="AI146" i="31"/>
  <c r="AI147" i="31"/>
  <c r="AH148" i="31"/>
  <c r="AH149" i="31"/>
  <c r="AH150" i="31"/>
  <c r="AH151" i="31"/>
  <c r="AH152" i="31"/>
  <c r="AH153" i="31"/>
  <c r="AH154" i="31"/>
  <c r="AH155" i="31"/>
  <c r="AH156" i="31"/>
  <c r="AH157" i="31"/>
  <c r="AI158" i="31"/>
  <c r="AG159" i="31"/>
  <c r="AH160" i="31"/>
  <c r="AH161" i="31"/>
  <c r="AH162" i="31"/>
  <c r="AH163" i="31"/>
  <c r="AI164" i="31"/>
  <c r="AI165" i="31"/>
  <c r="AI166" i="31"/>
  <c r="AI167" i="31"/>
  <c r="AI168" i="31"/>
  <c r="AI169" i="31"/>
  <c r="AI170" i="31"/>
  <c r="AI171" i="31"/>
  <c r="AH172" i="31"/>
  <c r="AG173" i="31"/>
  <c r="AG174" i="31"/>
  <c r="AH175" i="31"/>
  <c r="AG176" i="31"/>
  <c r="AG177" i="31"/>
  <c r="AG178" i="31"/>
  <c r="AG179" i="31"/>
  <c r="AG180" i="31"/>
  <c r="AH181" i="31"/>
  <c r="AH182" i="31"/>
  <c r="AG183" i="31"/>
  <c r="AI183" i="31"/>
  <c r="AH184" i="31"/>
  <c r="AI184" i="31"/>
  <c r="AG185" i="31"/>
  <c r="AG186" i="31"/>
  <c r="AH187" i="31"/>
  <c r="AG188" i="31"/>
  <c r="AG189" i="31"/>
  <c r="AG190" i="31"/>
  <c r="AG191" i="31"/>
  <c r="AG192" i="31"/>
  <c r="AH193" i="31"/>
  <c r="AH194" i="31"/>
  <c r="AH195" i="31"/>
  <c r="AH196" i="31"/>
  <c r="AH197" i="31"/>
  <c r="AH198" i="31"/>
  <c r="AI198" i="31"/>
  <c r="AI199" i="31"/>
  <c r="AI200" i="31"/>
  <c r="AI201" i="31"/>
  <c r="AI202" i="31"/>
  <c r="AI203" i="31"/>
  <c r="AI204" i="31"/>
  <c r="AI205" i="31"/>
  <c r="AI206" i="31"/>
  <c r="AI207" i="31"/>
  <c r="AI208" i="31"/>
  <c r="AI209" i="31"/>
  <c r="AH210" i="31"/>
  <c r="AI210" i="31"/>
  <c r="AH211" i="31"/>
  <c r="AH212" i="31"/>
  <c r="AH213" i="31"/>
  <c r="AI214" i="31"/>
  <c r="AI215" i="31"/>
  <c r="AH216" i="31"/>
  <c r="AH217" i="31"/>
  <c r="AH218" i="31"/>
  <c r="AH219" i="31"/>
  <c r="AH220" i="31"/>
  <c r="AH221" i="31"/>
  <c r="AH222" i="31"/>
  <c r="AH223" i="31"/>
  <c r="AH224" i="31"/>
  <c r="AG225" i="31"/>
  <c r="AG226" i="31"/>
  <c r="AG227" i="31"/>
  <c r="AH228" i="31"/>
  <c r="AH229" i="31"/>
  <c r="AH230" i="31"/>
  <c r="AH231" i="31"/>
  <c r="AH232" i="31"/>
  <c r="AH233" i="31"/>
  <c r="AH234" i="31"/>
  <c r="AH235" i="31"/>
  <c r="AH236" i="31"/>
  <c r="AH237" i="31"/>
  <c r="AH238" i="31"/>
  <c r="AH239" i="31"/>
  <c r="AI240" i="31"/>
  <c r="AI241" i="31"/>
  <c r="AI242" i="31"/>
  <c r="AI243" i="31"/>
  <c r="AI244" i="31"/>
  <c r="AJ245" i="31"/>
  <c r="AJ246" i="31"/>
  <c r="AJ247" i="31"/>
  <c r="AJ248" i="31"/>
  <c r="AJ249" i="31"/>
  <c r="AJ250" i="31"/>
  <c r="AJ251" i="31"/>
  <c r="AJ252" i="31"/>
  <c r="AJ253" i="31"/>
  <c r="AJ254" i="31"/>
  <c r="AJ255" i="31"/>
  <c r="AJ256" i="31"/>
  <c r="L133" i="4" l="1"/>
  <c r="L132" i="4"/>
  <c r="L131" i="4"/>
  <c r="L130" i="4"/>
  <c r="L129" i="4"/>
  <c r="L128" i="4"/>
  <c r="L127" i="4"/>
  <c r="L126" i="4"/>
  <c r="L125" i="4"/>
  <c r="L124" i="4"/>
  <c r="L123" i="4"/>
  <c r="L122" i="4"/>
  <c r="L121" i="4"/>
  <c r="L120" i="4"/>
  <c r="L119" i="4"/>
  <c r="L118" i="4"/>
  <c r="L117" i="4"/>
  <c r="L116" i="4"/>
  <c r="L115" i="4"/>
  <c r="L114" i="4"/>
  <c r="L113" i="4"/>
  <c r="L111" i="4"/>
  <c r="L110" i="4"/>
  <c r="L109" i="4"/>
  <c r="L108" i="4"/>
  <c r="L106" i="4"/>
  <c r="L105" i="4"/>
  <c r="L104" i="4"/>
  <c r="L103" i="4"/>
  <c r="L102" i="4"/>
  <c r="L101" i="4"/>
  <c r="L100" i="4"/>
  <c r="L99" i="4"/>
  <c r="L98" i="4"/>
  <c r="L97" i="4"/>
  <c r="L96" i="4"/>
  <c r="L94" i="4"/>
  <c r="L93" i="4"/>
  <c r="L92" i="4"/>
  <c r="L91" i="4"/>
  <c r="L90" i="4"/>
  <c r="L89" i="4"/>
  <c r="L88" i="4"/>
  <c r="L87" i="4"/>
  <c r="L86" i="4"/>
  <c r="L85" i="4"/>
  <c r="L84" i="4"/>
  <c r="L83" i="4"/>
  <c r="L82" i="4"/>
  <c r="L81" i="4"/>
  <c r="L80" i="4"/>
  <c r="L79" i="4"/>
  <c r="L78" i="4"/>
  <c r="L77" i="4"/>
  <c r="L76" i="4"/>
  <c r="L75" i="4"/>
  <c r="L74" i="4"/>
  <c r="L72" i="4"/>
  <c r="L71" i="4"/>
  <c r="L70" i="4"/>
  <c r="L69" i="4"/>
  <c r="L68" i="4"/>
  <c r="L66" i="4"/>
  <c r="L65" i="4"/>
  <c r="L64" i="4"/>
  <c r="L63" i="4"/>
  <c r="L62" i="4"/>
  <c r="L61" i="4"/>
  <c r="L60" i="4"/>
  <c r="L59" i="4"/>
  <c r="L58" i="4"/>
  <c r="L57" i="4"/>
  <c r="L56" i="4"/>
  <c r="L55" i="4"/>
  <c r="L54" i="4"/>
  <c r="L53" i="4"/>
  <c r="L52" i="4"/>
  <c r="L51" i="4"/>
  <c r="L50" i="4"/>
  <c r="L49" i="4"/>
  <c r="L48" i="4"/>
  <c r="L47" i="4"/>
  <c r="L46" i="4"/>
  <c r="L45" i="4"/>
  <c r="L44" i="4"/>
  <c r="L43" i="4"/>
  <c r="L42" i="4"/>
  <c r="L40" i="4"/>
  <c r="L39" i="4"/>
  <c r="L38" i="4"/>
  <c r="L37" i="4"/>
  <c r="L36" i="4"/>
  <c r="L34" i="4"/>
  <c r="L33" i="4"/>
  <c r="L32" i="4"/>
  <c r="L31" i="4"/>
  <c r="L30" i="4"/>
  <c r="L29" i="4"/>
  <c r="L28" i="4"/>
  <c r="L27" i="4"/>
  <c r="L26" i="4"/>
  <c r="L25" i="4"/>
  <c r="L24" i="4"/>
  <c r="L23" i="4"/>
  <c r="L22" i="4"/>
  <c r="L21" i="4"/>
  <c r="L20" i="4"/>
  <c r="L18" i="4"/>
  <c r="L17" i="4"/>
  <c r="L16" i="4"/>
  <c r="L15" i="4"/>
  <c r="L13" i="4"/>
  <c r="L12" i="4"/>
  <c r="L11" i="4"/>
  <c r="L10" i="4"/>
  <c r="L9" i="4"/>
  <c r="L8" i="4"/>
  <c r="L7" i="4"/>
  <c r="O134" i="4"/>
  <c r="I134" i="4"/>
  <c r="K134" i="4" s="1"/>
  <c r="H134" i="4"/>
  <c r="G134" i="4"/>
  <c r="O112" i="4"/>
  <c r="I112" i="4"/>
  <c r="H112" i="4"/>
  <c r="G112" i="4"/>
  <c r="O107" i="4"/>
  <c r="I107" i="4"/>
  <c r="K107" i="4" s="1"/>
  <c r="H107" i="4"/>
  <c r="G107" i="4"/>
  <c r="O95" i="4"/>
  <c r="I95" i="4"/>
  <c r="H95" i="4"/>
  <c r="G95" i="4"/>
  <c r="O73" i="4"/>
  <c r="I73" i="4"/>
  <c r="K73" i="4" s="1"/>
  <c r="H73" i="4"/>
  <c r="G73" i="4"/>
  <c r="O67" i="4"/>
  <c r="I67" i="4"/>
  <c r="H67" i="4"/>
  <c r="G67" i="4"/>
  <c r="O41" i="4"/>
  <c r="I41" i="4"/>
  <c r="H41" i="4"/>
  <c r="G41" i="4"/>
  <c r="O35" i="4"/>
  <c r="I35" i="4"/>
  <c r="H35" i="4"/>
  <c r="G35" i="4"/>
  <c r="O19" i="4"/>
  <c r="I19" i="4"/>
  <c r="K19" i="4" s="1"/>
  <c r="H19" i="4"/>
  <c r="G19" i="4"/>
  <c r="O14" i="4"/>
  <c r="I14" i="4"/>
  <c r="H14" i="4"/>
  <c r="H136" i="4" s="1"/>
  <c r="G14" i="4"/>
  <c r="J112" i="4" l="1"/>
  <c r="K112" i="4"/>
  <c r="L112" i="4" s="1"/>
  <c r="G136" i="4"/>
  <c r="J136" i="4" s="1"/>
  <c r="J67" i="4"/>
  <c r="I136" i="4"/>
  <c r="K95" i="4"/>
  <c r="J35" i="4"/>
  <c r="J95" i="4"/>
  <c r="K35" i="4"/>
  <c r="K67" i="4"/>
  <c r="L67" i="4" s="1"/>
  <c r="O136" i="4"/>
  <c r="J19" i="4"/>
  <c r="L19" i="4" s="1"/>
  <c r="J41" i="4"/>
  <c r="J73" i="4"/>
  <c r="J107" i="4"/>
  <c r="L35" i="4"/>
  <c r="K41" i="4"/>
  <c r="J134" i="4"/>
  <c r="J14" i="4"/>
  <c r="K14" i="4"/>
  <c r="L73" i="4"/>
  <c r="L107" i="4"/>
  <c r="L134" i="4"/>
  <c r="K136"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2" i="31" a="1"/>
  <c r="AE1" i="31" a="1"/>
  <c r="D1" i="31" a="1"/>
  <c r="L95" i="4" l="1"/>
  <c r="L14" i="4"/>
  <c r="L136" i="4"/>
  <c r="L41" i="4"/>
  <c r="AE1" i="31"/>
  <c r="AE2" i="31"/>
  <c r="D1" i="31"/>
  <c r="B24" i="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<sst xmlns="http://schemas.openxmlformats.org/spreadsheetml/2006/main" count="4635" uniqueCount="2176">
  <si>
    <t>Man/Day</t>
    <phoneticPr fontId="3" type="noConversion"/>
  </si>
  <si>
    <t>Man-Day</t>
  </si>
  <si>
    <t>Man-Month</t>
  </si>
  <si>
    <t>VALUE3</t>
  </si>
  <si>
    <t>INSERTED_DATE</t>
    <phoneticPr fontId="3" type="noConversion"/>
  </si>
  <si>
    <t>UPDATED_DATE</t>
    <phoneticPr fontId="3" type="noConversion"/>
  </si>
  <si>
    <t>COMPANY</t>
    <phoneticPr fontId="3" type="noConversion"/>
  </si>
  <si>
    <t>XLWorks</t>
    <phoneticPr fontId="3" type="noConversion"/>
  </si>
  <si>
    <t>DO NOT UPDATE</t>
    <phoneticPr fontId="3" type="noConversion"/>
  </si>
  <si>
    <t>AUTHOR_EMAIL</t>
    <phoneticPr fontId="3" type="noConversion"/>
  </si>
  <si>
    <t>PROGRAM_NAME</t>
    <phoneticPr fontId="3" type="noConversion"/>
  </si>
  <si>
    <t>XLGantt</t>
  </si>
  <si>
    <t>PROGRAM_SITE</t>
    <phoneticPr fontId="3" type="noConversion"/>
  </si>
  <si>
    <t>PROGRAM_SITE_DISP</t>
    <phoneticPr fontId="3" type="noConversion"/>
  </si>
  <si>
    <t>VERSION</t>
    <phoneticPr fontId="3" type="noConversion"/>
  </si>
  <si>
    <t>RELEASE_DATE</t>
    <phoneticPr fontId="3" type="noConversion"/>
  </si>
  <si>
    <t>LICENSE</t>
    <phoneticPr fontId="3" type="noConversion"/>
  </si>
  <si>
    <t>Freeware</t>
    <phoneticPr fontId="3" type="noConversion"/>
  </si>
  <si>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</si>
  <si>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</si>
  <si>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</si>
  <si>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</si>
  <si>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</si>
  <si>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</si>
  <si>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</si>
  <si>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</si>
  <si>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</si>
  <si>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</si>
  <si>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</si>
  <si>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</si>
  <si>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</si>
  <si>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</si>
  <si>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</si>
  <si>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</si>
  <si>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</si>
  <si>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</si>
  <si>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</si>
  <si>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</si>
  <si>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</si>
  <si>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</si>
  <si>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</si>
  <si>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</si>
  <si>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</si>
  <si>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</si>
  <si>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</si>
  <si>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</si>
  <si>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</si>
  <si>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</si>
  <si>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</si>
  <si>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</si>
  <si>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</si>
  <si>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</si>
  <si>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</si>
  <si>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</si>
  <si>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</si>
  <si>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</si>
  <si>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</si>
  <si>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</si>
  <si>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</si>
  <si>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</si>
  <si>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</si>
  <si>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</si>
  <si>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</si>
  <si>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</si>
  <si>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</si>
  <si>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</si>
  <si>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</si>
  <si>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</si>
  <si>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</si>
  <si>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</si>
  <si>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</si>
  <si>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</si>
  <si>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</si>
  <si>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</si>
  <si>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</si>
  <si>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</si>
  <si>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</si>
  <si>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</si>
  <si>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</si>
  <si>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</si>
  <si>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</si>
  <si>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</si>
  <si>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</si>
  <si>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</si>
  <si>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</si>
  <si>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</si>
  <si>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</si>
  <si>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</si>
  <si>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</si>
  <si>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</si>
  <si>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</si>
  <si>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</si>
  <si>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</si>
  <si>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</si>
  <si>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</si>
  <si>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</si>
  <si>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</si>
  <si>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</si>
  <si>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</si>
  <si>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</si>
  <si>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</si>
  <si>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</si>
  <si>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</si>
  <si>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</si>
  <si>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</si>
  <si>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</si>
  <si>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</si>
  <si>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</si>
  <si>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</si>
  <si>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</si>
  <si>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</si>
  <si>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</si>
  <si>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</si>
  <si>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</si>
  <si>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</si>
  <si>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</si>
  <si>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</si>
  <si>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</si>
  <si>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</si>
  <si>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</si>
  <si>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</si>
  <si>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</si>
  <si>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</si>
  <si>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</si>
  <si>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</si>
  <si>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</si>
  <si>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</si>
  <si>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</si>
  <si>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</si>
  <si>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</si>
  <si>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</si>
  <si>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</si>
  <si>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</si>
  <si>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</si>
  <si>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</si>
  <si>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</si>
  <si>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</si>
  <si>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</si>
  <si>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</si>
  <si>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</si>
  <si>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</si>
  <si>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</si>
  <si>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</si>
  <si>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</si>
  <si>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</si>
  <si>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</si>
  <si>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</si>
  <si>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</si>
  <si>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</si>
  <si>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</si>
  <si>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</si>
  <si>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</si>
  <si>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</si>
  <si>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</si>
  <si>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</si>
  <si>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</si>
  <si>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</si>
  <si>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</si>
  <si>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</si>
  <si>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</si>
  <si>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</si>
  <si>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</si>
  <si>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</si>
  <si>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</si>
  <si>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</si>
  <si>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</si>
  <si>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</si>
  <si>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</si>
  <si>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</si>
  <si>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</si>
  <si>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</si>
  <si>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</si>
  <si>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</si>
  <si>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</si>
  <si>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</si>
  <si>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</si>
  <si>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</si>
  <si>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</si>
  <si>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</si>
  <si>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</si>
  <si>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</si>
  <si>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</si>
  <si>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</si>
  <si>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</si>
  <si>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</si>
  <si>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</si>
  <si>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</si>
  <si>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</si>
  <si>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</si>
  <si>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</si>
  <si>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</si>
  <si>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</si>
  <si>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</si>
  <si>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</si>
  <si>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</si>
  <si>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</si>
  <si>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</si>
  <si>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</si>
  <si>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</si>
  <si>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</si>
  <si>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</si>
  <si>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</si>
  <si>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</si>
  <si>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</si>
  <si>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</si>
  <si>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</si>
  <si>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</si>
  <si>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</si>
  <si>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</si>
  <si>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</si>
  <si>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</si>
  <si>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</si>
  <si>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</si>
  <si>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</si>
  <si>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</si>
  <si>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</si>
  <si>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</si>
  <si>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</si>
  <si>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</si>
  <si>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</si>
  <si>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</si>
  <si>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</si>
  <si>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</si>
  <si>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</si>
  <si>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</si>
  <si>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</si>
  <si>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</si>
  <si>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</si>
  <si>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</si>
  <si>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</si>
  <si>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</si>
  <si>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</si>
  <si>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</si>
  <si>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</si>
  <si>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</si>
  <si>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</si>
  <si>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</si>
  <si>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</si>
  <si>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</si>
  <si>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</si>
  <si>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</si>
  <si>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</si>
  <si>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</si>
  <si>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</si>
  <si>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</si>
  <si>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</si>
  <si>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</si>
  <si>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</si>
  <si>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</si>
  <si>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</si>
  <si>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</si>
  <si>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</si>
  <si>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</si>
  <si>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</si>
  <si>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</si>
  <si>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</si>
  <si>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</si>
  <si>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</si>
  <si>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</si>
  <si>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</si>
  <si>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</si>
  <si>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</si>
  <si>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</si>
  <si>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</si>
  <si>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</si>
  <si>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</si>
  <si>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</si>
  <si>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</si>
  <si>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</si>
  <si>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</si>
  <si>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</si>
  <si>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</si>
  <si>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</si>
  <si>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</si>
  <si>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</si>
  <si>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</si>
  <si>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</si>
  <si>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</si>
  <si>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</si>
  <si>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</si>
  <si>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</si>
  <si>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</si>
  <si>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</si>
  <si>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</si>
  <si>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</si>
  <si>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</si>
  <si>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</si>
  <si>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</si>
  <si>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</si>
  <si>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</si>
  <si>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</si>
  <si>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</si>
  <si>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</si>
  <si>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</si>
  <si>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</si>
  <si>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</si>
  <si>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</si>
  <si>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</si>
  <si>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</si>
  <si>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</si>
  <si>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</si>
  <si>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</si>
  <si>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</si>
  <si>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</si>
  <si>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</si>
  <si>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</si>
  <si>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</si>
  <si>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</si>
  <si>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</si>
  <si>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</si>
  <si>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</si>
  <si>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</si>
  <si>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</si>
  <si>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</si>
  <si>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</si>
  <si>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</si>
  <si>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</si>
  <si>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</si>
  <si>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</si>
  <si>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</si>
  <si>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</si>
  <si>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</si>
  <si>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</si>
  <si>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</si>
  <si>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</si>
  <si>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</si>
  <si>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</si>
  <si>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</si>
  <si>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</si>
  <si>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</si>
  <si>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</si>
  <si>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</si>
  <si>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</si>
  <si>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</si>
  <si>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</si>
  <si>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</si>
  <si>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</si>
  <si>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</si>
  <si>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3" type="noConversion"/>
  </si>
  <si>
    <t>admin@xlworks.net</t>
    <phoneticPr fontId="3" type="noConversion"/>
  </si>
  <si>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</si>
  <si>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</si>
  <si>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</si>
  <si>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</si>
  <si>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</si>
  <si>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</si>
  <si>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</si>
  <si>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</si>
  <si>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</si>
  <si>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</si>
  <si>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</si>
  <si>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</si>
  <si>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</si>
  <si>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</si>
  <si>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</si>
  <si>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</si>
  <si>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</si>
  <si>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</si>
  <si>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</si>
  <si>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</si>
  <si>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</si>
  <si>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</si>
  <si>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</si>
  <si>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</si>
  <si>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</si>
  <si>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</si>
  <si>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</si>
  <si>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</si>
  <si>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</si>
  <si>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</si>
  <si>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</si>
  <si>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</si>
  <si>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</si>
  <si>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</si>
  <si>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</si>
  <si>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</si>
  <si>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</si>
  <si>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</si>
  <si>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</si>
  <si>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</si>
  <si>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</si>
  <si>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</si>
  <si>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</si>
  <si>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</si>
  <si>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</si>
  <si>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</si>
  <si>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</si>
  <si>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</si>
  <si>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</si>
  <si>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</si>
  <si>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</si>
  <si>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</si>
  <si>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</si>
  <si>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</si>
  <si>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</si>
  <si>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</si>
  <si>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</si>
  <si>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</si>
  <si>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</si>
  <si>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</si>
  <si>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</si>
  <si>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</si>
  <si>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</si>
  <si>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</si>
  <si>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</si>
  <si>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</si>
  <si>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</si>
  <si>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</si>
  <si>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</si>
  <si>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</si>
  <si>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</si>
  <si>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</si>
  <si>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</si>
  <si>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</si>
  <si>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3"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</si>
  <si>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</si>
  <si>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</si>
  <si>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</si>
  <si>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</si>
  <si>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1" type="noConversion"/>
  </si>
  <si>
    <t>Total__Duration</t>
    <phoneticPr fontId="3" type="noConversion"/>
  </si>
  <si>
    <t>Saturdays, Sundays and the dates entered in the Calendar sheet_x000D_</t>
    <phoneticPr fontId="1" type="noConversion"/>
  </si>
  <si>
    <t>Actual__Total Work</t>
    <phoneticPr fontId="3" type="noConversion"/>
  </si>
  <si>
    <t>Reserved</t>
    <phoneticPr fontId="3" type="noConversion"/>
  </si>
  <si>
    <t>Text Index</t>
    <phoneticPr fontId="3" type="noConversion"/>
  </si>
  <si>
    <t>Description</t>
    <phoneticPr fontId="3"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</si>
  <si>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</si>
  <si>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</si>
  <si>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</si>
  <si>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</si>
  <si>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</si>
  <si>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%Work__Complete</t>
    <phoneticPr fontId="3" type="noConversion"/>
  </si>
  <si>
    <t>manual input</t>
    <phoneticPr fontId="1" type="noConversion"/>
  </si>
  <si>
    <t>Actual</t>
    <phoneticPr fontId="1" type="noConversion"/>
  </si>
  <si>
    <t>Actual Total__Duration</t>
    <phoneticPr fontId="3" type="noConversion"/>
  </si>
  <si>
    <t>Actual__Finish</t>
    <phoneticPr fontId="3" type="noConversion"/>
  </si>
  <si>
    <t>Actual__Start</t>
    <phoneticPr fontId="3" type="noConversion"/>
  </si>
  <si>
    <t>Actual__Total Duration</t>
    <phoneticPr fontId="3" type="noConversion"/>
  </si>
  <si>
    <t>Actual\nStart-Finish</t>
    <phoneticPr fontId="1" type="noConversion"/>
  </si>
  <si>
    <t>yyyy/mm/dd</t>
    <phoneticPr fontId="1" type="noConversion"/>
  </si>
  <si>
    <t>Plan</t>
    <phoneticPr fontId="1" type="noConversion"/>
  </si>
  <si>
    <t>Planned__%Work Complete</t>
    <phoneticPr fontId="3" type="noConversion"/>
  </si>
  <si>
    <t>Planned__Duration</t>
    <phoneticPr fontId="3" type="noConversion"/>
  </si>
  <si>
    <t>Planned__Work</t>
    <phoneticPr fontId="3" type="noConversion"/>
  </si>
  <si>
    <t>Resources</t>
    <phoneticPr fontId="1" type="noConversion"/>
  </si>
  <si>
    <t>The language setting has been changed.\nPress the OK button to start translation. \nIt may take a long time to translate.\nHowever, translation of Ribbon menu and Popup menu takes effect after reopening this XLGantt file.</t>
    <phoneticPr fontId="3" type="noConversion"/>
  </si>
  <si>
    <t>Total__Work</t>
    <phoneticPr fontId="3" type="noConversion"/>
  </si>
  <si>
    <t>Would you like to update the schedule before saving?</t>
    <phoneticPr fontId="3" type="noConversion"/>
  </si>
  <si>
    <t>Group rows</t>
    <phoneticPr fontId="1" type="noConversion"/>
  </si>
  <si>
    <t>Schedule</t>
    <phoneticPr fontId="1" type="noConversion"/>
  </si>
  <si>
    <t>Progress</t>
    <phoneticPr fontId="1" type="noConversion"/>
  </si>
  <si>
    <t>AnalysisReport</t>
    <phoneticPr fontId="1" type="noConversion"/>
  </si>
  <si>
    <t>Calendar</t>
    <phoneticPr fontId="1" type="noConversion"/>
  </si>
  <si>
    <t>TranslatedLanguages</t>
    <phoneticPr fontId="1" type="noConversion"/>
  </si>
  <si>
    <t>Gantt Chart Zoom Ratio(Max 999%)</t>
    <phoneticPr fontId="1" type="noConversion"/>
  </si>
  <si>
    <t>Manual</t>
    <phoneticPr fontId="1" type="noConversion"/>
  </si>
  <si>
    <t>Automatic</t>
    <phoneticPr fontId="1" type="noConversion"/>
  </si>
  <si>
    <t>Automatic Except for Data Tables</t>
    <phoneticPr fontId="1" type="noConversion"/>
  </si>
  <si>
    <t>Calculation Options</t>
    <phoneticPr fontId="1" type="noConversion"/>
  </si>
  <si>
    <t>Total Work</t>
  </si>
  <si>
    <t>Planned Work</t>
  </si>
  <si>
    <t>Total Duration</t>
  </si>
  <si>
    <t>Planned Duration</t>
  </si>
  <si>
    <t>Actual Total Work</t>
  </si>
  <si>
    <t>Actual Total Duration</t>
  </si>
  <si>
    <t>Planned %Work Complete</t>
  </si>
  <si>
    <t>for importOnStartup</t>
    <phoneticPr fontId="1" type="noConversion"/>
  </si>
  <si>
    <t>Invalid field name!</t>
    <phoneticPr fontId="1" type="noConversion"/>
  </si>
  <si>
    <t>Import file format Error! Range A1 should contain "xlgantt_reserved" string.</t>
    <phoneticPr fontId="1" type="noConversion"/>
  </si>
  <si>
    <t>Import file format Error! Range A2 should contain the import result.</t>
    <phoneticPr fontId="1" type="noConversion"/>
  </si>
  <si>
    <t>Successfully imported.</t>
    <phoneticPr fontId="1" type="noConversion"/>
  </si>
  <si>
    <t>Recalculate WBS area after import</t>
    <phoneticPr fontId="1" type="noConversion"/>
  </si>
  <si>
    <t>Do not recalculate WBS area after import</t>
    <phoneticPr fontId="1" type="noConversion"/>
  </si>
  <si>
    <t>Number of "Task" columns(Max 20)</t>
    <phoneticPr fontId="1" type="noConversion"/>
  </si>
  <si>
    <t>Import from Server</t>
    <phoneticPr fontId="1" type="noConversion"/>
  </si>
  <si>
    <t>Choose what to do after Importing Server Data</t>
    <phoneticPr fontId="1" type="noConversion"/>
  </si>
  <si>
    <t xml:space="preserve">Import  Data of "ServerData" sheet on Startup </t>
    <phoneticPr fontId="1" type="noConversion"/>
  </si>
  <si>
    <t>Import has already been completed.</t>
    <phoneticPr fontId="1" type="noConversion"/>
  </si>
  <si>
    <t>No data to import.</t>
    <phoneticPr fontId="1" type="noConversion"/>
  </si>
  <si>
    <t>The number of task columns is not 10. Please retry after changing the sheet to its previous state.</t>
    <phoneticPr fontId="1" type="noConversion"/>
  </si>
  <si>
    <t>The week containing the first Thursday of the year is the first week of the year(ISO 8601 Standard).</t>
    <phoneticPr fontId="1" type="noConversion"/>
  </si>
  <si>
    <t>System 2</t>
    <phoneticPr fontId="1" type="noConversion"/>
  </si>
  <si>
    <t>System 1</t>
    <phoneticPr fontId="1" type="noConversion"/>
  </si>
  <si>
    <t>The week containing January 1 is the first week of the year.</t>
    <phoneticPr fontId="1" type="noConversion"/>
  </si>
  <si>
    <t>for Week Number</t>
    <phoneticPr fontId="1" type="noConversion"/>
  </si>
  <si>
    <t>None</t>
    <phoneticPr fontId="1" type="noConversion"/>
  </si>
  <si>
    <t>Week Numbers Display</t>
    <phoneticPr fontId="1" type="noConversion"/>
  </si>
  <si>
    <t>Group rows(Max 8 Levels)</t>
    <phoneticPr fontId="1" type="noConversion"/>
  </si>
  <si>
    <t>totalWorkload</t>
  </si>
  <si>
    <t>planWorkload</t>
  </si>
  <si>
    <t>actualWorkload</t>
  </si>
  <si>
    <t>resourceWeight</t>
  </si>
  <si>
    <t>planRate</t>
  </si>
  <si>
    <t>actualRate</t>
  </si>
  <si>
    <t>reserved index</t>
    <phoneticPr fontId="1" type="noConversion"/>
  </si>
  <si>
    <t>1</t>
  </si>
  <si>
    <t>Actual Accumulated\nMan-Day</t>
    <phoneticPr fontId="1" type="noConversion"/>
  </si>
  <si>
    <t>Actual Man-Day</t>
    <phoneticPr fontId="1" type="noConversion"/>
  </si>
  <si>
    <t>Actual Progress</t>
    <phoneticPr fontId="1" type="noConversion"/>
  </si>
  <si>
    <t>Project Progresses by Weeks</t>
    <phoneticPr fontId="1" type="noConversion"/>
  </si>
  <si>
    <t>* This sheet shows you project progresses by weeks.</t>
    <phoneticPr fontId="1" type="noConversion"/>
  </si>
  <si>
    <t>timebucketStart</t>
  </si>
  <si>
    <t>timebucketFinish</t>
  </si>
  <si>
    <t>actualStart</t>
  </si>
  <si>
    <t>actualFinish</t>
  </si>
  <si>
    <t>Planned Workload(Man-Day)</t>
    <phoneticPr fontId="1" type="noConversion"/>
  </si>
  <si>
    <t>Planned Workload Accumulated(Man-Day)</t>
    <phoneticPr fontId="1" type="noConversion"/>
  </si>
  <si>
    <t>Actual Workload(Man-Day)</t>
    <phoneticPr fontId="1" type="noConversion"/>
  </si>
  <si>
    <t>Actual Workload Progress</t>
    <phoneticPr fontId="1" type="noConversion"/>
  </si>
  <si>
    <t>Planned Workload Progress</t>
    <phoneticPr fontId="1" type="noConversion"/>
  </si>
  <si>
    <t>Actual Workload Accumulated(Man-Day)</t>
    <phoneticPr fontId="1" type="noConversion"/>
  </si>
  <si>
    <t>Progress by Weeks</t>
    <phoneticPr fontId="1" type="noConversion"/>
  </si>
  <si>
    <t>Progress by Months</t>
    <phoneticPr fontId="1" type="noConversion"/>
  </si>
  <si>
    <t>Project Progresses by Months</t>
    <phoneticPr fontId="1" type="noConversion"/>
  </si>
  <si>
    <t>* This sheet shows you project progresses by months.</t>
    <phoneticPr fontId="1" type="noConversion"/>
  </si>
  <si>
    <t>* You need to click the "Progress by Weeks" button to update the contents.</t>
    <phoneticPr fontId="1" type="noConversion"/>
  </si>
  <si>
    <t>* You need to click the "Progress by Months" button to update the contents.</t>
    <phoneticPr fontId="1" type="noConversion"/>
  </si>
  <si>
    <t>Earned Value(Man-Day)</t>
    <phoneticPr fontId="1" type="noConversion"/>
  </si>
  <si>
    <t>Earned Value Accumulated(Man-Day)</t>
    <phoneticPr fontId="1" type="noConversion"/>
  </si>
  <si>
    <t>Earned Value Progress</t>
    <phoneticPr fontId="1" type="noConversion"/>
  </si>
  <si>
    <t>Earned value on planned schedule</t>
    <phoneticPr fontId="1" type="noConversion"/>
  </si>
  <si>
    <t>Earned value on planned schedule when managing schedule changes(Total Duration x %Work Complete)</t>
    <phoneticPr fontId="1" type="noConversion"/>
  </si>
  <si>
    <t>earnedValue</t>
  </si>
  <si>
    <t>Earned Value(C)\nMan-day</t>
    <phoneticPr fontId="1" type="noConversion"/>
  </si>
  <si>
    <t>wbsLevel01</t>
  </si>
  <si>
    <t>wbsLevel02</t>
  </si>
  <si>
    <t>wbsLevel03</t>
  </si>
  <si>
    <t>wbsLevel04</t>
  </si>
  <si>
    <t>wbsLevel05</t>
  </si>
  <si>
    <t>wbsLevel06</t>
  </si>
  <si>
    <t>wbsLevel07</t>
  </si>
  <si>
    <t>wbsLevel08</t>
  </si>
  <si>
    <t>wbsLevel09</t>
  </si>
  <si>
    <t>wbsLevel10</t>
  </si>
  <si>
    <t>weekNumber</t>
  </si>
  <si>
    <t>wbsLevel</t>
  </si>
  <si>
    <t>Workloads</t>
    <phoneticPr fontId="1" type="noConversion"/>
  </si>
  <si>
    <t>Workload</t>
    <phoneticPr fontId="1" type="noConversion"/>
  </si>
  <si>
    <t>Workload Data</t>
    <phoneticPr fontId="1" type="noConversion"/>
  </si>
  <si>
    <t>Create Workload Data by Weeks</t>
    <phoneticPr fontId="1" type="noConversion"/>
  </si>
  <si>
    <t>Create Workload Data by Months</t>
  </si>
  <si>
    <t>1.1</t>
  </si>
  <si>
    <t>Earned value on planned schedule(Total Duration x %Work Complete)</t>
    <phoneticPr fontId="1" type="noConversion"/>
  </si>
  <si>
    <t>for help sheet</t>
    <phoneticPr fontId="1"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</si>
  <si>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</si>
  <si>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</si>
  <si>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</si>
  <si>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</si>
  <si>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</si>
  <si>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</si>
  <si>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1" type="noConversion"/>
  </si>
  <si>
    <t>Help and the latest version</t>
    <phoneticPr fontId="1" type="noConversion"/>
  </si>
  <si>
    <t>Sheets</t>
    <phoneticPr fontId="1" type="noConversion"/>
  </si>
  <si>
    <t>When you enter a task and a schedule, the progress rate is calculated and the schedule of the task is displayed as a gantt chart.</t>
    <phoneticPr fontId="1" type="noConversion"/>
  </si>
  <si>
    <t>Shows you the progresses and workloads of the project by weeks, months, and resources.</t>
    <phoneticPr fontId="1" type="noConversion"/>
  </si>
  <si>
    <t>Shows you the workloads, progresses, etc.</t>
    <phoneticPr fontId="1" type="noConversion"/>
  </si>
  <si>
    <t>Sets nonworking days.</t>
    <phoneticPr fontId="1" type="noConversion"/>
  </si>
  <si>
    <t>Makes workload data by weekly and monthly. You can do analysis as you want by using Excel features such as pivot.</t>
    <phoneticPr fontId="1" type="noConversion"/>
  </si>
  <si>
    <t>It is used when you want to see schedule data of IT system where server exists separately.</t>
    <phoneticPr fontId="1" type="noConversion"/>
  </si>
  <si>
    <t>Task input, schedule update</t>
    <phoneticPr fontId="1" type="noConversion"/>
  </si>
  <si>
    <t>Setting Gantt chart display style</t>
    <phoneticPr fontId="1" type="noConversion"/>
  </si>
  <si>
    <t>Keeping track of project progress</t>
    <phoneticPr fontId="1" type="noConversion"/>
  </si>
  <si>
    <t>Analysis report</t>
    <phoneticPr fontId="1" type="noConversion"/>
  </si>
  <si>
    <t>Schedule change</t>
    <phoneticPr fontId="1" type="noConversion"/>
  </si>
  <si>
    <t>Adding Tasks to Microsoft Outlook Calendar</t>
    <phoneticPr fontId="1" type="noConversion"/>
  </si>
  <si>
    <t>Importing Schedules from Another File</t>
    <phoneticPr fontId="1" type="noConversion"/>
  </si>
  <si>
    <t>Integration with Excel Features</t>
    <phoneticPr fontId="1" type="noConversion"/>
  </si>
  <si>
    <t>Importing Server Data</t>
    <phoneticPr fontId="1" type="noConversion"/>
  </si>
  <si>
    <t>When you enter task names, start and finish dates, and %work complete values, XLGantt automatically calculates the tasks durations, planned %work complete values.</t>
    <phoneticPr fontId="1" type="noConversion"/>
  </si>
  <si>
    <t>You can click the "Options" button on the ribbon to customize a Gantt chart style.</t>
    <phoneticPr fontId="1" type="noConversion"/>
  </si>
  <si>
    <t>You can use %work complete to keep track of the progress of the project.</t>
    <phoneticPr fontId="1" type="noConversion"/>
  </si>
  <si>
    <t>Provides you with analytical reports such as progress, workload, and workload data for tracking the status of your project.</t>
    <phoneticPr fontId="1" type="noConversion"/>
  </si>
  <si>
    <t>Manages the planned schedule and actual schedule of the project.</t>
    <phoneticPr fontId="1" type="noConversion"/>
  </si>
  <si>
    <t>Specifies the save path of the deliverables and open the deliverables.</t>
    <phoneticPr fontId="1"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</si>
  <si>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1" type="noConversion"/>
  </si>
  <si>
    <t>Imports schedules into XLGantt. You can import the schedules by mapping the fields.</t>
    <phoneticPr fontId="1" type="noConversion"/>
  </si>
  <si>
    <t>You can include the formulas and functions of the Excel in XLGantt.</t>
    <phoneticPr fontId="1" type="noConversion"/>
  </si>
  <si>
    <t>You can use this feature if you want to see the server's schedule data. If you put the schedule data on the Server into the ServerData sheet and download the XLGantt file and open the XLGantt file, the data comes into the Schedule sheet.</t>
    <phoneticPr fontId="1"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</si>
  <si>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1" type="noConversion"/>
  </si>
  <si>
    <t>Getting Started With XLGantt</t>
    <phoneticPr fontId="1" type="noConversion"/>
  </si>
  <si>
    <t>If you want to learn the features quickly and easily, see the "Getting Started With XLGantt".</t>
    <phoneticPr fontId="1" type="noConversion"/>
  </si>
  <si>
    <t>https://xlworks.net/xlgantt-howto-13-server-data/</t>
    <phoneticPr fontId="1"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</si>
  <si>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1"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</si>
  <si>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1" type="noConversion"/>
  </si>
  <si>
    <t>Adds tasks to the Outlook calendar(You must have Microsoft Outlook installed on your PC).</t>
    <phoneticPr fontId="1" type="noConversion"/>
  </si>
  <si>
    <t>reserved index, for help sheet</t>
    <phoneticPr fontId="1" type="noConversion"/>
  </si>
  <si>
    <t>Color Theme</t>
    <phoneticPr fontId="1" type="noConversion"/>
  </si>
  <si>
    <t>Display date on the timescale</t>
    <phoneticPr fontId="1" type="noConversion"/>
  </si>
  <si>
    <t>Display year on the timescale</t>
    <phoneticPr fontId="1" type="noConversion"/>
  </si>
  <si>
    <t>Display project week number on the timescale</t>
    <phoneticPr fontId="1" type="noConversion"/>
  </si>
  <si>
    <t>Appearance</t>
    <phoneticPr fontId="1" type="noConversion"/>
  </si>
  <si>
    <t>Gantt chart title</t>
    <phoneticPr fontId="1" type="noConversion"/>
  </si>
  <si>
    <t>Gantt chart group task bar</t>
    <phoneticPr fontId="1" type="noConversion"/>
  </si>
  <si>
    <t>Gantt chart sub task bar</t>
    <phoneticPr fontId="1" type="noConversion"/>
  </si>
  <si>
    <t>WBS title - input field</t>
    <phoneticPr fontId="1" type="noConversion"/>
  </si>
  <si>
    <t>WBS title - auto calculated field</t>
    <phoneticPr fontId="1" type="noConversion"/>
  </si>
  <si>
    <t>Workload Calculation</t>
    <phoneticPr fontId="1" type="noConversion"/>
  </si>
  <si>
    <t>by Weight</t>
    <phoneticPr fontId="1" type="noConversion"/>
  </si>
  <si>
    <t>Default</t>
    <phoneticPr fontId="1" type="noConversion"/>
  </si>
  <si>
    <t>Purple</t>
    <phoneticPr fontId="1" type="noConversion"/>
  </si>
  <si>
    <t>Green</t>
    <phoneticPr fontId="1" type="noConversion"/>
  </si>
  <si>
    <t>Custom</t>
    <phoneticPr fontId="1" type="noConversion"/>
  </si>
  <si>
    <t>resourceAssignRate</t>
  </si>
  <si>
    <t>(Resources unspecified)</t>
    <phoneticPr fontId="1" type="noConversion"/>
  </si>
  <si>
    <t>by Resource Allocation Ratio</t>
    <phoneticPr fontId="1" type="noConversion"/>
  </si>
  <si>
    <t>Resource Allocation Ratio</t>
    <phoneticPr fontId="1" type="noConversion"/>
  </si>
  <si>
    <t>The resource allocation ratio in the resource field of row number {1} in the {2} sheet is invalid.</t>
    <phoneticPr fontId="1" type="noConversion"/>
  </si>
  <si>
    <t>The resource field should be entered in the following format.</t>
    <phoneticPr fontId="1" type="noConversion"/>
  </si>
  <si>
    <t>Elsa,John[50%]</t>
    <phoneticPr fontId="1" type="noConversion"/>
  </si>
  <si>
    <t>Mark task as milestone</t>
    <phoneticPr fontId="1" type="noConversion"/>
  </si>
  <si>
    <t>Title above WBS</t>
    <phoneticPr fontId="1" type="noConversion"/>
  </si>
  <si>
    <t>projectWeekNumber</t>
  </si>
  <si>
    <t>Title above Gantt chart</t>
    <phoneticPr fontId="1" type="noConversion"/>
  </si>
  <si>
    <t>Black &amp; White</t>
    <phoneticPr fontId="1" type="noConversion"/>
  </si>
  <si>
    <t>Set "the earliest start date and the lastest fisnish date of the tasks" to the Project Start-Finish date.</t>
    <phoneticPr fontId="1" type="noConversion"/>
  </si>
  <si>
    <t>1:English,82:Korean,999:Custom</t>
    <phoneticPr fontId="1" type="noConversion"/>
  </si>
  <si>
    <t>When not managing schedule changes</t>
    <phoneticPr fontId="1" type="noConversion"/>
  </si>
  <si>
    <t>When managing schedule changes</t>
    <phoneticPr fontId="1" type="noConversion"/>
  </si>
  <si>
    <t>Ahead of schedule</t>
    <phoneticPr fontId="1" type="noConversion"/>
  </si>
  <si>
    <t>On schedule</t>
    <phoneticPr fontId="1" type="noConversion"/>
  </si>
  <si>
    <t>Behind schedule</t>
    <phoneticPr fontId="1" type="noConversion"/>
  </si>
  <si>
    <t>Custom</t>
  </si>
  <si>
    <t>Gantt chart progress line</t>
    <phoneticPr fontId="1" type="noConversion"/>
  </si>
  <si>
    <t>Schedule variance</t>
    <phoneticPr fontId="1" type="noConversion"/>
  </si>
  <si>
    <t>Started earlier than planned</t>
    <phoneticPr fontId="1" type="noConversion"/>
  </si>
  <si>
    <t>Started later than planned</t>
    <phoneticPr fontId="1" type="noConversion"/>
  </si>
  <si>
    <t>Started as planned</t>
    <phoneticPr fontId="1" type="noConversion"/>
  </si>
  <si>
    <t>Star(*) marks-required fields</t>
    <phoneticPr fontId="1" type="noConversion"/>
  </si>
  <si>
    <t>12/1/2018</t>
    <phoneticPr fontId="1" type="noConversion"/>
  </si>
  <si>
    <t>&lt;&lt; Unmap</t>
    <phoneticPr fontId="1" type="noConversion"/>
  </si>
  <si>
    <t>&lt;&lt; Remove</t>
    <phoneticPr fontId="1" type="noConversion"/>
  </si>
  <si>
    <t>https://xlworks.net/xlgantt-easy-tip/</t>
    <phoneticPr fontId="1" type="noConversion"/>
  </si>
  <si>
    <t>https://xlworks.net/xlgantt-howto-02-task/</t>
    <phoneticPr fontId="1" type="noConversion"/>
  </si>
  <si>
    <t>https://xlworks.net/xlgantt-howto-03-gantt-chart/</t>
    <phoneticPr fontId="1" type="noConversion"/>
  </si>
  <si>
    <t>https://xlworks.net/xlgantt-howto-04-project-progress/</t>
    <phoneticPr fontId="1" type="noConversion"/>
  </si>
  <si>
    <t>Help</t>
    <phoneticPr fontId="1" type="noConversion"/>
  </si>
  <si>
    <t>https://xlworks.net/xlgantt-project-scheduler/</t>
    <phoneticPr fontId="1" type="noConversion"/>
  </si>
  <si>
    <t>How to use</t>
    <phoneticPr fontId="1" type="noConversion"/>
  </si>
  <si>
    <t>https://xlworks.net/xlgantt-howto-05-analysis-report/</t>
    <phoneticPr fontId="1" type="noConversion"/>
  </si>
  <si>
    <t>https://xlworks.net/xlgantt-howto-06-schedule-change-management/</t>
    <phoneticPr fontId="1" type="noConversion"/>
  </si>
  <si>
    <t>https://xlworks.net/xlgantt-howto-07-deliverables/</t>
    <phoneticPr fontId="1" type="noConversion"/>
  </si>
  <si>
    <t>https://xlworks.net/xlgantt-howto-08-add-tasks-to-outlook/</t>
    <phoneticPr fontId="1" type="noConversion"/>
  </si>
  <si>
    <t>XLGantt Version {} Terms of Use</t>
    <phoneticPr fontId="1" type="noConversion"/>
  </si>
  <si>
    <t>Display date or day on the timescale</t>
    <phoneticPr fontId="1" type="noConversion"/>
  </si>
  <si>
    <t>Display font color to gray for the completed tasks</t>
    <phoneticPr fontId="1" type="noConversion"/>
  </si>
  <si>
    <t>Display interior color to gray for the task groups</t>
    <phoneticPr fontId="1" type="noConversion"/>
  </si>
  <si>
    <t>Left</t>
    <phoneticPr fontId="1" type="noConversion"/>
  </si>
  <si>
    <t>Center</t>
    <phoneticPr fontId="1" type="noConversion"/>
  </si>
  <si>
    <t>Right</t>
    <phoneticPr fontId="1" type="noConversion"/>
  </si>
  <si>
    <t>Align WBS Column</t>
    <phoneticPr fontId="1" type="noConversion"/>
  </si>
  <si>
    <t>Date</t>
    <phoneticPr fontId="1" type="noConversion"/>
  </si>
  <si>
    <t>Day</t>
    <phoneticPr fontId="1" type="noConversion"/>
  </si>
  <si>
    <t>The same field name exists.</t>
    <phoneticPr fontId="1" type="noConversion"/>
  </si>
  <si>
    <t>Enter tasks, Update schedule</t>
    <phoneticPr fontId="1" type="noConversion"/>
  </si>
  <si>
    <t>Displayed in %Work complete column</t>
    <phoneticPr fontId="1" type="noConversion"/>
  </si>
  <si>
    <t>CM</t>
  </si>
  <si>
    <t>ITEM</t>
  </si>
  <si>
    <t>VALUE1</t>
  </si>
  <si>
    <t>VALUE2</t>
  </si>
  <si>
    <t>ITEM_GROUP</t>
    <phoneticPr fontId="1" type="noConversion"/>
  </si>
  <si>
    <t>DESCRIPTION</t>
    <phoneticPr fontId="3" type="noConversion"/>
  </si>
  <si>
    <t>txtDefinedPath</t>
  </si>
  <si>
    <t>txtAutoDefinedBasePath</t>
  </si>
  <si>
    <t>chkDeliverablesMgt</t>
  </si>
  <si>
    <t>txtPgmPath4</t>
  </si>
  <si>
    <t>txtPgmPath5</t>
  </si>
  <si>
    <t>txtPgmPath6</t>
  </si>
  <si>
    <t>txtPgmPath7</t>
  </si>
  <si>
    <t>txtPgmPath8</t>
  </si>
  <si>
    <t>txtPgmName4</t>
  </si>
  <si>
    <t>txtPgmName8</t>
  </si>
  <si>
    <t>txtPgmName7</t>
  </si>
  <si>
    <t>txtPgmName6</t>
  </si>
  <si>
    <t>txtPgmName5</t>
  </si>
  <si>
    <t>chkInclude2SelectList4</t>
  </si>
  <si>
    <t>chkInclude2SelectList5</t>
  </si>
  <si>
    <t>chkInclude2SelectList6</t>
  </si>
  <si>
    <t>chkInclude2SelectList7</t>
  </si>
  <si>
    <t>chkInclude2SelectList8</t>
  </si>
  <si>
    <t>txtFileExt8</t>
  </si>
  <si>
    <t>txtFileExt4</t>
  </si>
  <si>
    <t>txtFileExt7</t>
  </si>
  <si>
    <t>txtFileExt6</t>
  </si>
  <si>
    <t>txtFileExt5</t>
  </si>
  <si>
    <t>txtPgmName1</t>
  </si>
  <si>
    <t>txtPgmPath1</t>
  </si>
  <si>
    <t>txtPgmPath2</t>
  </si>
  <si>
    <t>txtPgmPath3</t>
  </si>
  <si>
    <t>txtPgmName3</t>
  </si>
  <si>
    <t>txtPgmName2</t>
  </si>
  <si>
    <t>chkInclude2SelectList1</t>
  </si>
  <si>
    <t>chkInclude2SelectList2</t>
  </si>
  <si>
    <t>chkInclude2SelectList3</t>
  </si>
  <si>
    <t>txtFileExt1</t>
  </si>
  <si>
    <t>txtFileExt3</t>
  </si>
  <si>
    <t>txtFileExt2</t>
  </si>
  <si>
    <t>chkWBSUpdateExecuteYN</t>
  </si>
  <si>
    <t>chkCheckForUpdatesOnStartup</t>
  </si>
  <si>
    <t>chkImportDataOnStartup</t>
  </si>
  <si>
    <t>optRecalcWBSArea</t>
  </si>
  <si>
    <t>txtGanttChartZoomRatio</t>
  </si>
  <si>
    <t>optWorkloadCalcByResourceAssignRate</t>
  </si>
  <si>
    <t>cbxColorTheme</t>
  </si>
  <si>
    <t>chkYearDispOverTimescale</t>
  </si>
  <si>
    <t>chkProjectWeekNumDispOverTimescale</t>
  </si>
  <si>
    <t>C:\Temp</t>
    <phoneticPr fontId="1" type="noConversion"/>
  </si>
  <si>
    <t>C:\Program Files\Autodesk\AutoCAD 2019\acad.exe</t>
    <phoneticPr fontId="1" type="noConversion"/>
  </si>
  <si>
    <t>C:\Program Files\Notepad++\notepad++.exe</t>
    <phoneticPr fontId="1" type="noConversion"/>
  </si>
  <si>
    <t>C:\WINDOWS\system32\notepad.exe</t>
    <phoneticPr fontId="1" type="noConversion"/>
  </si>
  <si>
    <t>AutoCAD</t>
    <phoneticPr fontId="1" type="noConversion"/>
  </si>
  <si>
    <t>메모장</t>
    <phoneticPr fontId="1" type="noConversion"/>
  </si>
  <si>
    <t>Notepad++</t>
    <phoneticPr fontId="1" type="noConversion"/>
  </si>
  <si>
    <t>dwg</t>
    <phoneticPr fontId="1" type="noConversion"/>
  </si>
  <si>
    <t>txt</t>
    <phoneticPr fontId="1" type="noConversion"/>
  </si>
  <si>
    <t>html</t>
    <phoneticPr fontId="1" type="noConversion"/>
  </si>
  <si>
    <t>ppt*</t>
    <phoneticPr fontId="1" type="noConversion"/>
  </si>
  <si>
    <t>xls*</t>
    <phoneticPr fontId="1" type="noConversion"/>
  </si>
  <si>
    <t>doc*</t>
    <phoneticPr fontId="1" type="noConversion"/>
  </si>
  <si>
    <t>FS</t>
  </si>
  <si>
    <t>optToday</t>
  </si>
  <si>
    <t>optThisWeek</t>
  </si>
  <si>
    <t>optThisMonth</t>
  </si>
  <si>
    <t>optDefinedDuration</t>
  </si>
  <si>
    <t>optAll</t>
  </si>
  <si>
    <t>txtTaskEndDate</t>
  </si>
  <si>
    <t>txtTaskStartDate</t>
  </si>
  <si>
    <t>optNotCompleted</t>
  </si>
  <si>
    <t>txtPercentTo</t>
  </si>
  <si>
    <t>txtPercentFrom</t>
  </si>
  <si>
    <t>txtResource</t>
  </si>
  <si>
    <t>optExactMatch</t>
  </si>
  <si>
    <t>optLike</t>
  </si>
  <si>
    <t>optDefinedPercentValue</t>
  </si>
  <si>
    <t>optCompleted</t>
  </si>
  <si>
    <t>optAllPercentWorkComplete</t>
    <phoneticPr fontId="1" type="noConversion"/>
  </si>
  <si>
    <t>OL</t>
    <phoneticPr fontId="1" type="noConversion"/>
  </si>
  <si>
    <t>Select Formula Cells</t>
    <phoneticPr fontId="1" type="noConversion"/>
  </si>
  <si>
    <t>5.0.0</t>
    <phoneticPr fontId="1" type="noConversion"/>
  </si>
  <si>
    <t xml:space="preserve">XLGantt 5.0.0 ©XLWorks </t>
    <phoneticPr fontId="3" type="noConversion"/>
  </si>
  <si>
    <t>Average number of working days per month</t>
    <phoneticPr fontId="1" type="noConversion"/>
  </si>
  <si>
    <t>Free space in the print area</t>
    <phoneticPr fontId="1" type="noConversion"/>
  </si>
  <si>
    <t>Automatically adjust height of Schedule sheet rows 1-4</t>
    <phoneticPr fontId="1" type="noConversion"/>
  </si>
  <si>
    <t>Program error has occurred.</t>
    <phoneticPr fontId="1" type="noConversion"/>
  </si>
  <si>
    <t>Program error has occurred, this error can occur because of the following:\n\n1. An incorrect value was entered in the Schedule sheet (eg, a value beginning with an equal sign (=) was entered except in the date field).\n\n2. {1}</t>
    <phoneticPr fontId="1" type="noConversion"/>
  </si>
  <si>
    <t>Program error has occurred.\n\n{1}\nError code:{2}\n\nIf this program file is stored in a cloud storage such as Microsoft OneDrive, move it to a local drive on your PC and use it.</t>
    <phoneticPr fontId="1" type="noConversion"/>
  </si>
  <si>
    <t>Program error has occurred.\n\n{1}\nError code:{2}</t>
    <phoneticPr fontId="1" type="noConversion"/>
  </si>
  <si>
    <t>DO NOT UPDATE, DO NOT MOVE ROW 8 TO ANOTHER ROW</t>
    <phoneticPr fontId="3" type="noConversion"/>
  </si>
  <si>
    <t>projectName</t>
  </si>
  <si>
    <t>isConfirmedProjectBasicInfo</t>
  </si>
  <si>
    <t>projectStartDate</t>
  </si>
  <si>
    <t>projectEndDate</t>
  </si>
  <si>
    <t>scheduleSheetPosition</t>
  </si>
  <si>
    <t>setTaskDateToProjectDate</t>
  </si>
  <si>
    <t>optScheduleChangeMgt</t>
  </si>
  <si>
    <t>optPlanRateCriteriaDate</t>
  </si>
  <si>
    <t>optFirstDayOfWeek</t>
  </si>
  <si>
    <t>optNonWorkingDays</t>
  </si>
  <si>
    <t>optWeekNum</t>
  </si>
  <si>
    <t>txtAvgWorkingdays</t>
  </si>
  <si>
    <t>txtPrintSpace</t>
  </si>
  <si>
    <t>chkAutoAdjustHeightRow1_5</t>
  </si>
  <si>
    <t>chkAutoAdjustHeightRow1_4</t>
  </si>
  <si>
    <t>10066176;10066176;26367;8421504;26367;8421504;16764108;16737792;65280;16737792;13311;65280;14540253;255</t>
  </si>
  <si>
    <t>completeTaskGrayDisplay</t>
  </si>
  <si>
    <t>taskDispInGroup</t>
  </si>
  <si>
    <t>taskDispInSub</t>
  </si>
  <si>
    <t>dateDisp</t>
  </si>
  <si>
    <t>ganttColWidth</t>
  </si>
  <si>
    <t>taskNameDisplayPosition</t>
  </si>
  <si>
    <t>actualRateDisp</t>
  </si>
  <si>
    <t>groupTaskInteriorGrayDisplay</t>
  </si>
  <si>
    <t>optGanttChartColumnDisplay</t>
  </si>
  <si>
    <t>applyUserInputFirst</t>
  </si>
  <si>
    <t>plannedRateDisp</t>
  </si>
  <si>
    <t>resourceDisp</t>
  </si>
  <si>
    <t>taskDisp</t>
  </si>
  <si>
    <t>groupRows</t>
  </si>
  <si>
    <t>dateDispOnTimescale</t>
  </si>
  <si>
    <t>txtNumberOfTaskColumn</t>
  </si>
  <si>
    <t>themeColorList</t>
  </si>
  <si>
    <t>optAlignWBSColumn</t>
  </si>
  <si>
    <t>savePathType</t>
  </si>
  <si>
    <t>lastTranslatedLanguage</t>
  </si>
  <si>
    <t>languageSelectionType</t>
  </si>
  <si>
    <t>languageSelectedByManual</t>
  </si>
  <si>
    <t>selectedLanguageList</t>
  </si>
  <si>
    <t>2</t>
  </si>
  <si>
    <t>OG</t>
    <phoneticPr fontId="1" type="noConversion"/>
  </si>
  <si>
    <t>OW</t>
    <phoneticPr fontId="1" type="noConversion"/>
  </si>
  <si>
    <t>OD</t>
    <phoneticPr fontId="1" type="noConversion"/>
  </si>
  <si>
    <t>OP</t>
    <phoneticPr fontId="1" type="noConversion"/>
  </si>
  <si>
    <t>https://xlworks.io/xlgantt-project-scheduler/</t>
  </si>
  <si>
    <t>https://xlworks.io/xlgantt-project-scheduler/</t>
    <phoneticPr fontId="3" type="noConversion"/>
  </si>
  <si>
    <t>https://xlworks.io/xlgantt-howto-1-getting-started-with-xlgantt/</t>
  </si>
  <si>
    <t>https://xlworks.io/xlgantt-howto-2-input-task-update-schedule/</t>
  </si>
  <si>
    <t>https://xlworks.io/xlgantt-howto-03-gantt-chart/</t>
  </si>
  <si>
    <t>https://xlworks.io/xlgantt-howto-04-project-progress/</t>
  </si>
  <si>
    <t>https://xlworks.io/xlgantt-howto-05-analysis-report/</t>
  </si>
  <si>
    <t>https://xlworks.io/xlgantt-howto-06-schedule-change-management/</t>
  </si>
  <si>
    <t>https://xlworks.io/xlgantt-howto-07-deliverables/</t>
  </si>
  <si>
    <t>https://xlworks.io/xlgantt-howto-08-add-tasks-to-outlook/</t>
  </si>
  <si>
    <t>https://xlworks.io/xlgantt-howto-09-multilingual-support/</t>
  </si>
  <si>
    <t>https://xlworks.io/xlgantt-howto-10-import-schedule/</t>
  </si>
  <si>
    <t>https://xlworks.io/xlgantt-howto-11-calendar/</t>
  </si>
  <si>
    <t>https://xlworks.io/xlgantt-howto-12-integration-with-excel/</t>
  </si>
  <si>
    <t>https://xlworks.io/xlgantt-howto-13-server-data/</t>
  </si>
  <si>
    <t>https://xlworks.io/</t>
    <phoneticPr fontId="1" type="noConversion"/>
  </si>
  <si>
    <t>https://xlworks.net/</t>
    <phoneticPr fontId="1" type="noConversion"/>
  </si>
  <si>
    <r>
      <t xml:space="preserve">* </t>
    </r>
    <r>
      <rPr>
        <sz val="9"/>
        <color theme="1"/>
        <rFont val="맑은 고딕"/>
        <family val="3"/>
        <charset val="129"/>
      </rPr>
      <t>현재</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영어와</t>
    </r>
    <r>
      <rPr>
        <sz val="9"/>
        <color theme="1"/>
        <rFont val="Calibri"/>
        <family val="2"/>
      </rPr>
      <t xml:space="preserve"> </t>
    </r>
    <r>
      <rPr>
        <sz val="9"/>
        <color theme="1"/>
        <rFont val="맑은 고딕"/>
        <family val="3"/>
        <charset val="129"/>
      </rPr>
      <t>한국어만</t>
    </r>
    <r>
      <rPr>
        <sz val="9"/>
        <color theme="1"/>
        <rFont val="Calibri"/>
        <family val="2"/>
      </rPr>
      <t xml:space="preserve"> </t>
    </r>
    <r>
      <rPr>
        <sz val="9"/>
        <color theme="1"/>
        <rFont val="맑은 고딕"/>
        <family val="3"/>
        <charset val="129"/>
      </rPr>
      <t>지원합니다</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필요하면</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언어추가</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추가하고</t>
    </r>
    <r>
      <rPr>
        <sz val="9"/>
        <color theme="1"/>
        <rFont val="Calibri"/>
        <family val="2"/>
      </rPr>
      <t xml:space="preserve"> TranslatedLanguages sheet</t>
    </r>
    <r>
      <rPr>
        <sz val="9"/>
        <color theme="1"/>
        <rFont val="맑은 고딕"/>
        <family val="3"/>
        <charset val="129"/>
      </rPr>
      <t>에</t>
    </r>
    <r>
      <rPr>
        <sz val="9"/>
        <color theme="1"/>
        <rFont val="Calibri"/>
        <family val="2"/>
      </rPr>
      <t xml:space="preserve"> </t>
    </r>
    <r>
      <rPr>
        <sz val="9"/>
        <color theme="1"/>
        <rFont val="맑은 고딕"/>
        <family val="3"/>
        <charset val="129"/>
      </rPr>
      <t>각</t>
    </r>
    <r>
      <rPr>
        <sz val="9"/>
        <color theme="1"/>
        <rFont val="Calibri"/>
        <family val="2"/>
      </rPr>
      <t xml:space="preserve"> </t>
    </r>
    <r>
      <rPr>
        <sz val="9"/>
        <color theme="1"/>
        <rFont val="맑은 고딕"/>
        <family val="3"/>
        <charset val="129"/>
      </rPr>
      <t>언어별로</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추가해야</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추가하지</t>
    </r>
    <r>
      <rPr>
        <sz val="9"/>
        <color theme="1"/>
        <rFont val="Calibri"/>
        <family val="2"/>
      </rPr>
      <t xml:space="preserve"> </t>
    </r>
    <r>
      <rPr>
        <sz val="9"/>
        <color theme="1"/>
        <rFont val="맑은 고딕"/>
        <family val="3"/>
        <charset val="129"/>
      </rPr>
      <t>않으면</t>
    </r>
    <r>
      <rPr>
        <sz val="9"/>
        <color theme="1"/>
        <rFont val="Calibri"/>
        <family val="2"/>
      </rPr>
      <t xml:space="preserve"> </t>
    </r>
    <r>
      <rPr>
        <sz val="9"/>
        <color theme="1"/>
        <rFont val="맑은 고딕"/>
        <family val="3"/>
        <charset val="129"/>
      </rPr>
      <t>기본언어인</t>
    </r>
    <r>
      <rPr>
        <sz val="9"/>
        <color theme="1"/>
        <rFont val="Calibri"/>
        <family val="2"/>
      </rPr>
      <t xml:space="preserve"> </t>
    </r>
    <r>
      <rPr>
        <sz val="9"/>
        <color theme="1"/>
        <rFont val="맑은 고딕"/>
        <family val="3"/>
        <charset val="129"/>
      </rPr>
      <t>영어로</t>
    </r>
    <r>
      <rPr>
        <sz val="9"/>
        <color theme="1"/>
        <rFont val="Calibri"/>
        <family val="2"/>
      </rPr>
      <t xml:space="preserve"> </t>
    </r>
    <r>
      <rPr>
        <sz val="9"/>
        <color theme="1"/>
        <rFont val="맑은 고딕"/>
        <family val="3"/>
        <charset val="129"/>
      </rPr>
      <t>표시됩니다</t>
    </r>
    <r>
      <rPr>
        <sz val="9"/>
        <color theme="1"/>
        <rFont val="Calibri"/>
        <family val="2"/>
      </rPr>
      <t>(TranslatedLanguages sheet</t>
    </r>
    <r>
      <rPr>
        <sz val="9"/>
        <color theme="1"/>
        <rFont val="맑은 고딕"/>
        <family val="3"/>
        <charset val="129"/>
      </rPr>
      <t>는</t>
    </r>
    <r>
      <rPr>
        <sz val="9"/>
        <color theme="1"/>
        <rFont val="Calibri"/>
        <family val="2"/>
      </rPr>
      <t xml:space="preserve"> </t>
    </r>
    <r>
      <rPr>
        <sz val="9"/>
        <color theme="1"/>
        <rFont val="맑은 고딕"/>
        <family val="3"/>
        <charset val="129"/>
      </rPr>
      <t>숨겨져</t>
    </r>
    <r>
      <rPr>
        <sz val="9"/>
        <color theme="1"/>
        <rFont val="Calibri"/>
        <family val="2"/>
      </rPr>
      <t xml:space="preserve"> </t>
    </r>
    <r>
      <rPr>
        <sz val="9"/>
        <color theme="1"/>
        <rFont val="맑은 고딕"/>
        <family val="3"/>
        <charset val="129"/>
      </rPr>
      <t>있음</t>
    </r>
    <r>
      <rPr>
        <sz val="9"/>
        <color theme="1"/>
        <rFont val="Calibri"/>
        <family val="2"/>
      </rPr>
      <t>,Sheet</t>
    </r>
    <r>
      <rPr>
        <sz val="9"/>
        <color theme="1"/>
        <rFont val="맑은 고딕"/>
        <family val="3"/>
        <charset val="129"/>
      </rPr>
      <t>메뉴에서</t>
    </r>
    <r>
      <rPr>
        <sz val="9"/>
        <color theme="1"/>
        <rFont val="Calibri"/>
        <family val="2"/>
      </rPr>
      <t xml:space="preserve"> </t>
    </r>
    <r>
      <rPr>
        <sz val="9"/>
        <color theme="1"/>
        <rFont val="맑은 고딕"/>
        <family val="3"/>
        <charset val="129"/>
      </rPr>
      <t>숨기기</t>
    </r>
    <r>
      <rPr>
        <sz val="9"/>
        <color theme="1"/>
        <rFont val="Calibri"/>
        <family val="2"/>
      </rPr>
      <t xml:space="preserve"> </t>
    </r>
    <r>
      <rPr>
        <sz val="9"/>
        <color theme="1"/>
        <rFont val="맑은 고딕"/>
        <family val="3"/>
        <charset val="129"/>
      </rPr>
      <t>취소하면</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있음</t>
    </r>
    <r>
      <rPr>
        <sz val="9"/>
        <color theme="1"/>
        <rFont val="Calibri"/>
        <family val="2"/>
      </rPr>
      <t>)</t>
    </r>
  </si>
  <si>
    <r>
      <rPr>
        <sz val="9"/>
        <color theme="1"/>
        <rFont val="맑은 고딕"/>
        <family val="3"/>
        <charset val="129"/>
      </rPr>
      <t>여기에는</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휴무일만</t>
    </r>
    <r>
      <rPr>
        <sz val="9"/>
        <color theme="1"/>
        <rFont val="Calibri"/>
        <family val="2"/>
      </rPr>
      <t xml:space="preserve"> </t>
    </r>
    <r>
      <rPr>
        <sz val="9"/>
        <color theme="1"/>
        <rFont val="맑은 고딕"/>
        <family val="3"/>
        <charset val="129"/>
      </rPr>
      <t>입력하세요</t>
    </r>
    <r>
      <rPr>
        <sz val="9"/>
        <color theme="1"/>
        <rFont val="Calibri"/>
        <family val="2"/>
      </rPr>
      <t>.</t>
    </r>
    <r>
      <rPr>
        <sz val="9"/>
        <color theme="1"/>
        <rFont val="맑은 고딕"/>
        <family val="3"/>
        <charset val="129"/>
      </rPr>
      <t>휴무일을</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근무일자로</t>
    </r>
    <r>
      <rPr>
        <sz val="9"/>
        <color theme="1"/>
        <rFont val="Calibri"/>
        <family val="2"/>
      </rPr>
      <t xml:space="preserve"> </t>
    </r>
    <r>
      <rPr>
        <sz val="9"/>
        <color theme="1"/>
        <rFont val="맑은 고딕"/>
        <family val="3"/>
        <charset val="129"/>
      </rPr>
      <t>설정됩니다</t>
    </r>
    <r>
      <rPr>
        <sz val="9"/>
        <color theme="1"/>
        <rFont val="Calibri"/>
        <family val="2"/>
      </rPr>
      <t>. \n</t>
    </r>
    <r>
      <rPr>
        <sz val="9"/>
        <color theme="1"/>
        <rFont val="맑은 고딕"/>
        <family val="3"/>
        <charset val="129"/>
      </rPr>
      <t>휴무일을</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계산시</t>
    </r>
    <r>
      <rPr>
        <sz val="9"/>
        <color theme="1"/>
        <rFont val="Calibri"/>
        <family val="2"/>
      </rPr>
      <t xml:space="preserve"> </t>
    </r>
    <r>
      <rPr>
        <sz val="9"/>
        <color theme="1"/>
        <rFont val="맑은 고딕"/>
        <family val="3"/>
        <charset val="129"/>
      </rPr>
      <t>반영합니다</t>
    </r>
    <r>
      <rPr>
        <sz val="9"/>
        <color theme="1"/>
        <rFont val="Calibri"/>
        <family val="2"/>
      </rPr>
      <t xml:space="preserve">. </t>
    </r>
    <r>
      <rPr>
        <sz val="9"/>
        <color theme="1"/>
        <rFont val="맑은 고딕"/>
        <family val="3"/>
        <charset val="129"/>
      </rPr>
      <t>입력한</t>
    </r>
    <r>
      <rPr>
        <sz val="9"/>
        <color theme="1"/>
        <rFont val="Calibri"/>
        <family val="2"/>
      </rPr>
      <t xml:space="preserve"> </t>
    </r>
    <r>
      <rPr>
        <sz val="9"/>
        <color theme="1"/>
        <rFont val="맑은 고딕"/>
        <family val="3"/>
        <charset val="129"/>
      </rPr>
      <t>일자만큼</t>
    </r>
    <r>
      <rPr>
        <sz val="9"/>
        <color theme="1"/>
        <rFont val="Calibri"/>
        <family val="2"/>
      </rPr>
      <t xml:space="preserve"> </t>
    </r>
    <r>
      <rPr>
        <sz val="9"/>
        <color theme="1"/>
        <rFont val="맑은 고딕"/>
        <family val="3"/>
        <charset val="129"/>
      </rPr>
      <t>작업기간에서</t>
    </r>
    <r>
      <rPr>
        <sz val="9"/>
        <color theme="1"/>
        <rFont val="Calibri"/>
        <family val="2"/>
      </rPr>
      <t xml:space="preserve"> </t>
    </r>
    <r>
      <rPr>
        <sz val="9"/>
        <color theme="1"/>
        <rFont val="맑은 고딕"/>
        <family val="3"/>
        <charset val="129"/>
      </rPr>
      <t>제외합니다</t>
    </r>
    <r>
      <rPr>
        <sz val="9"/>
        <color theme="1"/>
        <rFont val="Calibri"/>
        <family val="2"/>
      </rPr>
      <t>.\n(</t>
    </r>
    <r>
      <rPr>
        <sz val="9"/>
        <color theme="1"/>
        <rFont val="맑은 고딕"/>
        <family val="3"/>
        <charset val="129"/>
      </rPr>
      <t>단</t>
    </r>
    <r>
      <rPr>
        <sz val="9"/>
        <color theme="1"/>
        <rFont val="Calibri"/>
        <family val="2"/>
      </rPr>
      <t xml:space="preserve">, </t>
    </r>
    <r>
      <rPr>
        <sz val="9"/>
        <color theme="1"/>
        <rFont val="맑은 고딕"/>
        <family val="3"/>
        <charset val="129"/>
      </rPr>
      <t>옵션창의</t>
    </r>
    <r>
      <rPr>
        <sz val="9"/>
        <color theme="1"/>
        <rFont val="Calibri"/>
        <family val="2"/>
      </rPr>
      <t xml:space="preserve"> </t>
    </r>
    <r>
      <rPr>
        <sz val="9"/>
        <color theme="1"/>
        <rFont val="맑은 고딕"/>
        <family val="3"/>
        <charset val="129"/>
      </rPr>
      <t>캘린더</t>
    </r>
    <r>
      <rPr>
        <sz val="9"/>
        <color theme="1"/>
        <rFont val="Calibri"/>
        <family val="2"/>
      </rPr>
      <t xml:space="preserve"> </t>
    </r>
    <r>
      <rPr>
        <sz val="9"/>
        <color theme="1"/>
        <rFont val="맑은 고딕"/>
        <family val="3"/>
        <charset val="129"/>
      </rPr>
      <t>설정에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휴무일계산방법은</t>
    </r>
    <r>
      <rPr>
        <sz val="9"/>
        <color theme="1"/>
        <rFont val="Calibri"/>
        <family val="2"/>
      </rPr>
      <t xml:space="preserve"> </t>
    </r>
    <r>
      <rPr>
        <sz val="9"/>
        <color theme="1"/>
        <rFont val="맑은 고딕"/>
        <family val="3"/>
        <charset val="129"/>
      </rPr>
      <t>달라질</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.)\n</t>
    </r>
    <r>
      <rPr>
        <sz val="9"/>
        <color theme="1"/>
        <rFont val="맑은 고딕"/>
        <family val="3"/>
        <charset val="129"/>
      </rPr>
      <t>표준캘린더는</t>
    </r>
    <r>
      <rPr>
        <sz val="9"/>
        <color theme="1"/>
        <rFont val="Calibri"/>
        <family val="2"/>
      </rPr>
      <t xml:space="preserve"> </t>
    </r>
    <r>
      <rPr>
        <sz val="9"/>
        <color theme="1"/>
        <rFont val="맑은 고딕"/>
        <family val="3"/>
        <charset val="129"/>
      </rPr>
      <t>기본으로</t>
    </r>
    <r>
      <rPr>
        <sz val="9"/>
        <color theme="1"/>
        <rFont val="Calibri"/>
        <family val="2"/>
      </rPr>
      <t xml:space="preserve"> </t>
    </r>
    <r>
      <rPr>
        <sz val="9"/>
        <color theme="1"/>
        <rFont val="맑은 고딕"/>
        <family val="3"/>
        <charset val="129"/>
      </rPr>
      <t>적용되는</t>
    </r>
    <r>
      <rPr>
        <sz val="9"/>
        <color theme="1"/>
        <rFont val="Calibri"/>
        <family val="2"/>
      </rPr>
      <t xml:space="preserve"> </t>
    </r>
    <r>
      <rPr>
        <sz val="9"/>
        <color theme="1"/>
        <rFont val="맑은 고딕"/>
        <family val="3"/>
        <charset val="129"/>
      </rPr>
      <t>캘린더이며</t>
    </r>
    <r>
      <rPr>
        <sz val="9"/>
        <color theme="1"/>
        <rFont val="Calibri"/>
        <family val="2"/>
      </rPr>
      <t xml:space="preserve"> </t>
    </r>
    <r>
      <rPr>
        <sz val="9"/>
        <color theme="1"/>
        <rFont val="맑은 고딕"/>
        <family val="3"/>
        <charset val="129"/>
      </rPr>
      <t>특정</t>
    </r>
    <r>
      <rPr>
        <sz val="9"/>
        <color theme="1"/>
        <rFont val="Calibri"/>
        <family val="2"/>
      </rPr>
      <t xml:space="preserve"> </t>
    </r>
    <r>
      <rPr>
        <sz val="9"/>
        <color theme="1"/>
        <rFont val="맑은 고딕"/>
        <family val="3"/>
        <charset val="129"/>
      </rPr>
      <t>작업에</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캘린더를</t>
    </r>
    <r>
      <rPr>
        <sz val="9"/>
        <color theme="1"/>
        <rFont val="Calibri"/>
        <family val="2"/>
      </rPr>
      <t xml:space="preserve"> </t>
    </r>
    <r>
      <rPr>
        <sz val="9"/>
        <color theme="1"/>
        <rFont val="맑은 고딕"/>
        <family val="3"/>
        <charset val="129"/>
      </rPr>
      <t>지정하고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r>
      <rPr>
        <sz val="9"/>
        <color theme="1"/>
        <rFont val="맑은 고딕"/>
        <family val="3"/>
        <charset val="129"/>
      </rPr>
      <t>에</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지정하여</t>
    </r>
    <r>
      <rPr>
        <sz val="9"/>
        <color theme="1"/>
        <rFont val="Calibri"/>
        <family val="2"/>
      </rPr>
      <t xml:space="preserve"> </t>
    </r>
    <r>
      <rPr>
        <sz val="9"/>
        <color theme="1"/>
        <rFont val="맑은 고딕"/>
        <family val="3"/>
        <charset val="129"/>
      </rPr>
      <t>사용합니다</t>
    </r>
    <r>
      <rPr>
        <sz val="9"/>
        <color theme="1"/>
        <rFont val="Calibri"/>
        <family val="2"/>
      </rPr>
      <t>.</t>
    </r>
    <phoneticPr fontId="1"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</si>
  <si>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({3})</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({4})</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</si>
  <si>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t>
    </r>
    <r>
      <rPr>
        <sz val="9"/>
        <color theme="1"/>
        <rFont val="맑은 고딕"/>
        <family val="3"/>
        <charset val="129"/>
      </rPr>
      <t>엑셀파일이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t>
    </r>
    <r>
      <rPr>
        <sz val="9"/>
        <color theme="1"/>
        <rFont val="맑은 고딕"/>
        <family val="3"/>
        <charset val="129"/>
      </rPr>
      <t>자료</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틀린</t>
    </r>
    <r>
      <rPr>
        <sz val="9"/>
        <color theme="1"/>
        <rFont val="Calibri"/>
        <family val="2"/>
      </rPr>
      <t xml:space="preserve"> </t>
    </r>
    <r>
      <rPr>
        <sz val="9"/>
        <color theme="1"/>
        <rFont val="맑은 고딕"/>
        <family val="3"/>
        <charset val="129"/>
      </rPr>
      <t>경우</t>
    </r>
    <r>
      <rPr>
        <sz val="9"/>
        <color theme="1"/>
        <rFont val="Calibri"/>
        <family val="2"/>
      </rPr>
      <t>(1</t>
    </r>
    <r>
      <rPr>
        <sz val="9"/>
        <color theme="1"/>
        <rFont val="맑은 고딕"/>
        <family val="3"/>
        <charset val="129"/>
      </rPr>
      <t>행에</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들어가</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포맷</t>
    </r>
    <r>
      <rPr>
        <sz val="9"/>
        <color theme="1"/>
        <rFont val="Calibri"/>
        <family val="2"/>
      </rPr>
      <t xml:space="preserve"> </t>
    </r>
    <r>
      <rPr>
        <sz val="9"/>
        <color theme="1"/>
        <rFont val="맑은 고딕"/>
        <family val="3"/>
        <charset val="129"/>
      </rPr>
      <t>또는</t>
    </r>
    <r>
      <rPr>
        <sz val="9"/>
        <color theme="1"/>
        <rFont val="Calibri"/>
        <family val="2"/>
      </rPr>
      <t xml:space="preserve"> XLGantt </t>
    </r>
    <r>
      <rPr>
        <sz val="9"/>
        <color theme="1"/>
        <rFont val="맑은 고딕"/>
        <family val="3"/>
        <charset val="129"/>
      </rPr>
      <t>파일만</t>
    </r>
    <r>
      <rPr>
        <sz val="9"/>
        <color theme="1"/>
        <rFont val="Calibri"/>
        <family val="2"/>
      </rPr>
      <t xml:space="preserve"> </t>
    </r>
    <r>
      <rPr>
        <sz val="9"/>
        <color theme="1"/>
        <rFont val="맑은 고딕"/>
        <family val="3"/>
        <charset val="129"/>
      </rPr>
      <t>허용</t>
    </r>
    <r>
      <rPr>
        <sz val="9"/>
        <color theme="1"/>
        <rFont val="Calibri"/>
        <family val="2"/>
      </rPr>
      <t xml:space="preserve">)\n - </t>
    </r>
    <r>
      <rPr>
        <sz val="9"/>
        <color theme="1"/>
        <rFont val="맑은 고딕"/>
        <family val="3"/>
        <charset val="129"/>
      </rPr>
      <t>이미</t>
    </r>
    <r>
      <rPr>
        <sz val="9"/>
        <color theme="1"/>
        <rFont val="Calibri"/>
        <family val="2"/>
      </rPr>
      <t xml:space="preserve"> </t>
    </r>
    <r>
      <rPr>
        <sz val="9"/>
        <color theme="1"/>
        <rFont val="맑은 고딕"/>
        <family val="3"/>
        <charset val="129"/>
      </rPr>
      <t>열려있는</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또</t>
    </r>
    <r>
      <rPr>
        <sz val="9"/>
        <color theme="1"/>
        <rFont val="Calibri"/>
        <family val="2"/>
      </rPr>
      <t xml:space="preserve"> </t>
    </r>
    <r>
      <rPr>
        <sz val="9"/>
        <color theme="1"/>
        <rFont val="맑은 고딕"/>
        <family val="3"/>
        <charset val="129"/>
      </rPr>
      <t>열다가</t>
    </r>
    <r>
      <rPr>
        <sz val="9"/>
        <color theme="1"/>
        <rFont val="Calibri"/>
        <family val="2"/>
      </rPr>
      <t xml:space="preserve"> </t>
    </r>
    <r>
      <rPr>
        <sz val="9"/>
        <color theme="1"/>
        <rFont val="맑은 고딕"/>
        <family val="3"/>
        <charset val="129"/>
      </rPr>
      <t>취소하는</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</si>
  <si>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가져올</t>
    </r>
    <r>
      <rPr>
        <sz val="9"/>
        <color theme="1"/>
        <rFont val="Calibri"/>
        <family val="2"/>
      </rPr>
      <t xml:space="preserve"> </t>
    </r>
    <r>
      <rPr>
        <sz val="9"/>
        <color theme="1"/>
        <rFont val="맑은 고딕"/>
        <family val="3"/>
        <charset val="129"/>
      </rPr>
      <t>파일이</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 xml:space="preserve">가능_x000D_
</t>
    </r>
    <r>
      <rPr>
        <sz val="9"/>
        <color theme="1"/>
        <rFont val="Calibri"/>
        <family val="2"/>
      </rPr>
      <t>\n* XLGantt</t>
    </r>
    <r>
      <rPr>
        <sz val="9"/>
        <color theme="1"/>
        <rFont val="맑은 고딕"/>
        <family val="3"/>
        <charset val="129"/>
      </rPr>
      <t>의</t>
    </r>
    <r>
      <rPr>
        <sz val="9"/>
        <color theme="1"/>
        <rFont val="Calibri"/>
        <family val="2"/>
      </rPr>
      <t xml:space="preserve"> </t>
    </r>
    <r>
      <rPr>
        <sz val="9"/>
        <color theme="1"/>
        <rFont val="맑은 고딕"/>
        <family val="3"/>
        <charset val="129"/>
      </rPr>
      <t>버전이</t>
    </r>
    <r>
      <rPr>
        <sz val="9"/>
        <color theme="1"/>
        <rFont val="Calibri"/>
        <family val="2"/>
      </rPr>
      <t xml:space="preserve"> 0.9.7 </t>
    </r>
    <r>
      <rPr>
        <sz val="9"/>
        <color theme="1"/>
        <rFont val="맑은 고딕"/>
        <family val="3"/>
        <charset val="129"/>
      </rPr>
      <t>이상인</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가능</t>
    </r>
    <r>
      <rPr>
        <sz val="9"/>
        <color theme="1"/>
        <rFont val="Calibri"/>
        <family val="2"/>
      </rPr>
      <t xml:space="preserve">\n* </t>
    </r>
    <r>
      <rPr>
        <sz val="9"/>
        <color theme="1"/>
        <rFont val="맑은 고딕"/>
        <family val="3"/>
        <charset val="129"/>
      </rPr>
      <t>자료의</t>
    </r>
    <r>
      <rPr>
        <sz val="9"/>
        <color theme="1"/>
        <rFont val="Calibri"/>
        <family val="2"/>
      </rPr>
      <t xml:space="preserve"> </t>
    </r>
    <r>
      <rPr>
        <sz val="9"/>
        <color theme="1"/>
        <rFont val="맑은 고딕"/>
        <family val="3"/>
        <charset val="129"/>
      </rPr>
      <t>갯수는</t>
    </r>
    <r>
      <rPr>
        <sz val="9"/>
        <color theme="1"/>
        <rFont val="Calibri"/>
        <family val="2"/>
      </rPr>
      <t xml:space="preserve"> 10,000</t>
    </r>
    <r>
      <rPr>
        <sz val="9"/>
        <color theme="1"/>
        <rFont val="맑은 고딕"/>
        <family val="3"/>
        <charset val="129"/>
      </rPr>
      <t>개</t>
    </r>
    <r>
      <rPr>
        <sz val="9"/>
        <color theme="1"/>
        <rFont val="Calibri"/>
        <family val="2"/>
      </rPr>
      <t xml:space="preserve"> </t>
    </r>
    <r>
      <rPr>
        <sz val="9"/>
        <color theme="1"/>
        <rFont val="맑은 고딕"/>
        <family val="3"/>
        <charset val="129"/>
      </rPr>
      <t>이하까지만</t>
    </r>
    <r>
      <rPr>
        <sz val="9"/>
        <color theme="1"/>
        <rFont val="Calibri"/>
        <family val="2"/>
      </rPr>
      <t xml:space="preserve"> </t>
    </r>
    <r>
      <rPr>
        <sz val="9"/>
        <color theme="1"/>
        <rFont val="맑은 고딕"/>
        <family val="3"/>
        <charset val="129"/>
      </rPr>
      <t xml:space="preserve">처리됨_x000D_
</t>
    </r>
    <r>
      <rPr>
        <sz val="9"/>
        <color theme="1"/>
        <rFont val="Calibri"/>
        <family val="2"/>
      </rPr>
      <t xml:space="preserve">\n* </t>
    </r>
    <r>
      <rPr>
        <sz val="9"/>
        <color theme="1"/>
        <rFont val="맑은 고딕"/>
        <family val="3"/>
        <charset val="129"/>
      </rPr>
      <t>여러개의</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동시처리</t>
    </r>
    <r>
      <rPr>
        <sz val="9"/>
        <color theme="1"/>
        <rFont val="Calibri"/>
        <family val="2"/>
      </rPr>
      <t xml:space="preserve"> </t>
    </r>
    <r>
      <rPr>
        <sz val="9"/>
        <color theme="1"/>
        <rFont val="맑은 고딕"/>
        <family val="3"/>
        <charset val="129"/>
      </rPr>
      <t xml:space="preserve">가능_x000D_
</t>
    </r>
  </si>
  <si>
    <r>
      <rPr>
        <sz val="9"/>
        <color theme="1"/>
        <rFont val="맑은 고딕"/>
        <family val="3"/>
        <charset val="129"/>
      </rPr>
      <t>프로젝트</t>
    </r>
    <r>
      <rPr>
        <sz val="9"/>
        <color theme="1"/>
        <rFont val="Calibri"/>
        <family val="2"/>
      </rPr>
      <t xml:space="preserve"> </t>
    </r>
    <r>
      <rPr>
        <sz val="9"/>
        <color theme="1"/>
        <rFont val="맑은 고딕"/>
        <family val="3"/>
        <charset val="129"/>
      </rPr>
      <t>기간이</t>
    </r>
    <r>
      <rPr>
        <sz val="9"/>
        <color theme="1"/>
        <rFont val="Calibri"/>
        <family val="2"/>
      </rPr>
      <t xml:space="preserve"> </t>
    </r>
    <r>
      <rPr>
        <sz val="9"/>
        <color theme="1"/>
        <rFont val="맑은 고딕"/>
        <family val="3"/>
        <charset val="129"/>
      </rPr>
      <t>너무</t>
    </r>
    <r>
      <rPr>
        <sz val="9"/>
        <color theme="1"/>
        <rFont val="Calibri"/>
        <family val="2"/>
      </rPr>
      <t xml:space="preserve"> </t>
    </r>
    <r>
      <rPr>
        <sz val="9"/>
        <color theme="1"/>
        <rFont val="맑은 고딕"/>
        <family val="3"/>
        <charset val="129"/>
      </rPr>
      <t>깁니다</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시작일자는</t>
    </r>
    <r>
      <rPr>
        <sz val="9"/>
        <color theme="1"/>
        <rFont val="Calibri"/>
        <family val="2"/>
      </rPr>
      <t xml:space="preserve"> {1}</t>
    </r>
    <r>
      <rPr>
        <sz val="9"/>
        <color theme="1"/>
        <rFont val="맑은 고딕"/>
        <family val="3"/>
        <charset val="129"/>
      </rPr>
      <t>이고</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완료일자는</t>
    </r>
    <r>
      <rPr>
        <sz val="9"/>
        <color theme="1"/>
        <rFont val="Calibri"/>
        <family val="2"/>
      </rPr>
      <t xml:space="preserve"> {2}</t>
    </r>
    <r>
      <rPr>
        <sz val="9"/>
        <color theme="1"/>
        <rFont val="맑은 고딕"/>
        <family val="3"/>
        <charset val="129"/>
      </rPr>
      <t>이므로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기간은</t>
    </r>
    <r>
      <rPr>
        <sz val="9"/>
        <color theme="1"/>
        <rFont val="Calibri"/>
        <family val="2"/>
      </rPr>
      <t xml:space="preserve"> {3}</t>
    </r>
    <r>
      <rPr>
        <sz val="9"/>
        <color theme="1"/>
        <rFont val="맑은 고딕"/>
        <family val="3"/>
        <charset val="129"/>
      </rPr>
      <t>일입니다</t>
    </r>
    <r>
      <rPr>
        <sz val="9"/>
        <color theme="1"/>
        <rFont val="Calibri"/>
        <family val="2"/>
      </rPr>
      <t>. XLGantt</t>
    </r>
    <r>
      <rPr>
        <sz val="9"/>
        <color theme="1"/>
        <rFont val="맑은 고딕"/>
        <family val="3"/>
        <charset val="129"/>
      </rPr>
      <t>에서</t>
    </r>
    <r>
      <rPr>
        <sz val="9"/>
        <color theme="1"/>
        <rFont val="Calibri"/>
        <family val="2"/>
      </rPr>
      <t xml:space="preserve"> </t>
    </r>
    <r>
      <rPr>
        <sz val="9"/>
        <color theme="1"/>
        <rFont val="맑은 고딕"/>
        <family val="3"/>
        <charset val="129"/>
      </rPr>
      <t>허용되는</t>
    </r>
    <r>
      <rPr>
        <sz val="9"/>
        <color theme="1"/>
        <rFont val="Calibri"/>
        <family val="2"/>
      </rPr>
      <t xml:space="preserve"> </t>
    </r>
    <r>
      <rPr>
        <sz val="9"/>
        <color theme="1"/>
        <rFont val="맑은 고딕"/>
        <family val="3"/>
        <charset val="129"/>
      </rPr>
      <t>최대일수는</t>
    </r>
    <r>
      <rPr>
        <sz val="9"/>
        <color theme="1"/>
        <rFont val="Calibri"/>
        <family val="2"/>
      </rPr>
      <t xml:space="preserve"> {4}</t>
    </r>
    <r>
      <rPr>
        <sz val="9"/>
        <color theme="1"/>
        <rFont val="맑은 고딕"/>
        <family val="3"/>
        <charset val="129"/>
      </rPr>
      <t>일입니다</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XLGantt</t>
    </r>
    <r>
      <rPr>
        <sz val="9"/>
        <color theme="1"/>
        <rFont val="맑은 고딕"/>
        <family val="3"/>
        <charset val="129"/>
      </rPr>
      <t>에서</t>
    </r>
    <r>
      <rPr>
        <sz val="9"/>
        <color theme="1"/>
        <rFont val="Calibri"/>
        <family val="2"/>
      </rPr>
      <t xml:space="preserve"> </t>
    </r>
    <r>
      <rPr>
        <sz val="9"/>
        <color theme="1"/>
        <rFont val="맑은 고딕"/>
        <family val="3"/>
        <charset val="129"/>
      </rPr>
      <t>허용하는</t>
    </r>
    <r>
      <rPr>
        <sz val="9"/>
        <color theme="1"/>
        <rFont val="Calibri"/>
        <family val="2"/>
      </rPr>
      <t xml:space="preserve"> </t>
    </r>
    <r>
      <rPr>
        <sz val="9"/>
        <color theme="1"/>
        <rFont val="맑은 고딕"/>
        <family val="3"/>
        <charset val="129"/>
      </rPr>
      <t>범위내로</t>
    </r>
    <r>
      <rPr>
        <sz val="9"/>
        <color theme="1"/>
        <rFont val="Calibri"/>
        <family val="2"/>
      </rPr>
      <t xml:space="preserve"> </t>
    </r>
    <r>
      <rPr>
        <sz val="9"/>
        <color theme="1"/>
        <rFont val="맑은 고딕"/>
        <family val="3"/>
        <charset val="129"/>
      </rPr>
      <t>줄이십시오</t>
    </r>
    <r>
      <rPr>
        <sz val="9"/>
        <color theme="1"/>
        <rFont val="Calibri"/>
        <family val="2"/>
      </rPr>
      <t>.</t>
    </r>
  </si>
  <si>
    <r>
      <rPr>
        <sz val="9"/>
        <color theme="1"/>
        <rFont val="맑은 고딕"/>
        <family val="3"/>
        <charset val="129"/>
      </rPr>
      <t>토요일</t>
    </r>
    <r>
      <rPr>
        <sz val="9"/>
        <color theme="1"/>
        <rFont val="Calibri"/>
        <family val="2"/>
      </rPr>
      <t>,</t>
    </r>
    <r>
      <rPr>
        <sz val="9"/>
        <color theme="1"/>
        <rFont val="맑은 고딕"/>
        <family val="3"/>
        <charset val="129"/>
      </rPr>
      <t>일요일</t>
    </r>
    <r>
      <rPr>
        <sz val="9"/>
        <color theme="1"/>
        <rFont val="Calibri"/>
        <family val="2"/>
      </rPr>
      <t xml:space="preserve"> </t>
    </r>
    <r>
      <rPr>
        <sz val="9"/>
        <color theme="1"/>
        <rFont val="맑은 고딕"/>
        <family val="3"/>
        <charset val="129"/>
      </rPr>
      <t>및</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날짜_x000D_</t>
    </r>
    <phoneticPr fontId="1" type="noConversion"/>
  </si>
  <si>
    <r>
      <rPr>
        <sz val="9"/>
        <color theme="1"/>
        <rFont val="맑은 고딕"/>
        <family val="3"/>
        <charset val="129"/>
      </rPr>
      <t>엑셀간트는</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지원하는데</t>
    </r>
    <r>
      <rPr>
        <sz val="9"/>
        <color theme="1"/>
        <rFont val="Calibri"/>
        <family val="2"/>
      </rPr>
      <t xml:space="preserve"> </t>
    </r>
    <r>
      <rPr>
        <sz val="9"/>
        <color theme="1"/>
        <rFont val="맑은 고딕"/>
        <family val="3"/>
        <charset val="129"/>
      </rPr>
      <t>프로그램을</t>
    </r>
    <r>
      <rPr>
        <sz val="9"/>
        <color theme="1"/>
        <rFont val="Calibri"/>
        <family val="2"/>
      </rPr>
      <t xml:space="preserve"> </t>
    </r>
    <r>
      <rPr>
        <sz val="9"/>
        <color theme="1"/>
        <rFont val="맑은 고딕"/>
        <family val="3"/>
        <charset val="129"/>
      </rPr>
      <t>수정하지</t>
    </r>
    <r>
      <rPr>
        <sz val="9"/>
        <color theme="1"/>
        <rFont val="Calibri"/>
        <family val="2"/>
      </rPr>
      <t xml:space="preserve"> </t>
    </r>
    <r>
      <rPr>
        <sz val="9"/>
        <color theme="1"/>
        <rFont val="맑은 고딕"/>
        <family val="3"/>
        <charset val="129"/>
      </rPr>
      <t>않고</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현재는</t>
    </r>
    <r>
      <rPr>
        <sz val="9"/>
        <color theme="1"/>
        <rFont val="Calibri"/>
        <family val="2"/>
      </rPr>
      <t xml:space="preserve"> </t>
    </r>
    <r>
      <rPr>
        <sz val="9"/>
        <color theme="1"/>
        <rFont val="맑은 고딕"/>
        <family val="3"/>
        <charset val="129"/>
      </rPr>
      <t>한국어</t>
    </r>
    <r>
      <rPr>
        <sz val="9"/>
        <color theme="1"/>
        <rFont val="Calibri"/>
        <family val="2"/>
      </rPr>
      <t xml:space="preserve">, </t>
    </r>
    <r>
      <rPr>
        <sz val="9"/>
        <color theme="1"/>
        <rFont val="맑은 고딕"/>
        <family val="3"/>
        <charset val="129"/>
      </rPr>
      <t>영어</t>
    </r>
    <r>
      <rPr>
        <sz val="9"/>
        <color theme="1"/>
        <rFont val="Calibri"/>
        <family val="2"/>
      </rPr>
      <t xml:space="preserve"> 2</t>
    </r>
    <r>
      <rPr>
        <sz val="9"/>
        <color theme="1"/>
        <rFont val="맑은 고딕"/>
        <family val="3"/>
        <charset val="129"/>
      </rPr>
      <t>개</t>
    </r>
    <r>
      <rPr>
        <sz val="9"/>
        <color theme="1"/>
        <rFont val="Calibri"/>
        <family val="2"/>
      </rPr>
      <t xml:space="preserve"> </t>
    </r>
    <r>
      <rPr>
        <sz val="9"/>
        <color theme="1"/>
        <rFont val="맑은 고딕"/>
        <family val="3"/>
        <charset val="129"/>
      </rPr>
      <t>국어가</t>
    </r>
    <r>
      <rPr>
        <sz val="9"/>
        <color theme="1"/>
        <rFont val="Calibri"/>
        <family val="2"/>
      </rPr>
      <t xml:space="preserve"> </t>
    </r>
    <r>
      <rPr>
        <sz val="9"/>
        <color theme="1"/>
        <rFont val="맑은 고딕"/>
        <family val="3"/>
        <charset val="129"/>
      </rPr>
      <t>추가되어</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</si>
  <si>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r>
      <rPr>
        <sz val="9"/>
        <color theme="1"/>
        <rFont val="Calibri"/>
        <family val="2"/>
      </rPr>
      <t xml:space="preserve"> </t>
    </r>
    <r>
      <rPr>
        <sz val="9"/>
        <color theme="1"/>
        <rFont val="맑은 고딕"/>
        <family val="3"/>
        <charset val="129"/>
      </rPr>
      <t>지정</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설정</t>
    </r>
    <r>
      <rPr>
        <sz val="9"/>
        <color theme="1"/>
        <rFont val="Calibri"/>
        <family val="2"/>
      </rPr>
      <t xml:space="preserve">, </t>
    </r>
    <r>
      <rPr>
        <sz val="9"/>
        <color theme="1"/>
        <rFont val="맑은 고딕"/>
        <family val="3"/>
        <charset val="129"/>
      </rPr>
      <t>주차표시</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리본메뉴</t>
    </r>
    <r>
      <rPr>
        <sz val="9"/>
        <color theme="1"/>
        <rFont val="Calibri"/>
        <family val="2"/>
      </rPr>
      <t xml:space="preserve"> &gt; XLGantt – Project Scheduler &gt; </t>
    </r>
    <r>
      <rPr>
        <sz val="9"/>
        <color theme="1"/>
        <rFont val="맑은 고딕"/>
        <family val="3"/>
        <charset val="129"/>
      </rPr>
      <t>옵션</t>
    </r>
    <r>
      <rPr>
        <sz val="9"/>
        <color theme="1"/>
        <rFont val="Calibri"/>
        <family val="2"/>
      </rPr>
      <t xml:space="preserve"> &gt; “Calendar” </t>
    </r>
    <r>
      <rPr>
        <sz val="9"/>
        <color theme="1"/>
        <rFont val="맑은 고딕"/>
        <family val="3"/>
        <charset val="129"/>
      </rPr>
      <t>탭에서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</si>
  <si>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Server</t>
    </r>
    <r>
      <rPr>
        <sz val="9"/>
        <color theme="1"/>
        <rFont val="맑은 고딕"/>
        <family val="3"/>
        <charset val="129"/>
      </rPr>
      <t>에서</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ServerData </t>
    </r>
    <r>
      <rPr>
        <sz val="9"/>
        <color theme="1"/>
        <rFont val="맑은 고딕"/>
        <family val="3"/>
        <charset val="129"/>
      </rPr>
      <t>시트에</t>
    </r>
    <r>
      <rPr>
        <sz val="9"/>
        <color theme="1"/>
        <rFont val="Calibri"/>
        <family val="2"/>
      </rPr>
      <t xml:space="preserve"> </t>
    </r>
    <r>
      <rPr>
        <sz val="9"/>
        <color theme="1"/>
        <rFont val="맑은 고딕"/>
        <family val="3"/>
        <charset val="129"/>
      </rPr>
      <t>넣은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다운로드하고</t>
    </r>
    <r>
      <rPr>
        <sz val="9"/>
        <color theme="1"/>
        <rFont val="Calibri"/>
        <family val="2"/>
      </rPr>
      <t xml:space="preserve"> XLGantt </t>
    </r>
    <r>
      <rPr>
        <sz val="9"/>
        <color theme="1"/>
        <rFont val="맑은 고딕"/>
        <family val="3"/>
        <charset val="129"/>
      </rPr>
      <t>파일을</t>
    </r>
    <r>
      <rPr>
        <sz val="9"/>
        <color theme="1"/>
        <rFont val="Calibri"/>
        <family val="2"/>
      </rPr>
      <t xml:space="preserve"> </t>
    </r>
    <r>
      <rPr>
        <sz val="9"/>
        <color theme="1"/>
        <rFont val="맑은 고딕"/>
        <family val="3"/>
        <charset val="129"/>
      </rPr>
      <t>열면</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데이터가</t>
    </r>
    <r>
      <rPr>
        <sz val="9"/>
        <color theme="1"/>
        <rFont val="Calibri"/>
        <family val="2"/>
      </rPr>
      <t xml:space="preserve"> Schedule </t>
    </r>
    <r>
      <rPr>
        <sz val="9"/>
        <color theme="1"/>
        <rFont val="맑은 고딕"/>
        <family val="3"/>
        <charset val="129"/>
      </rPr>
      <t>시트로</t>
    </r>
    <r>
      <rPr>
        <sz val="9"/>
        <color theme="1"/>
        <rFont val="Calibri"/>
        <family val="2"/>
      </rPr>
      <t xml:space="preserve"> </t>
    </r>
    <r>
      <rPr>
        <sz val="9"/>
        <color theme="1"/>
        <rFont val="맑은 고딕"/>
        <family val="3"/>
        <charset val="129"/>
      </rPr>
      <t>들어온다</t>
    </r>
    <r>
      <rPr>
        <sz val="9"/>
        <color theme="1"/>
        <rFont val="Calibri"/>
        <family val="2"/>
      </rPr>
      <t xml:space="preserve">. </t>
    </r>
    <r>
      <rPr>
        <sz val="9"/>
        <color theme="1"/>
        <rFont val="맑은 고딕"/>
        <family val="3"/>
        <charset val="129"/>
      </rPr>
      <t>서버에서</t>
    </r>
    <r>
      <rPr>
        <sz val="9"/>
        <color theme="1"/>
        <rFont val="Calibri"/>
        <family val="2"/>
      </rPr>
      <t xml:space="preserve"> </t>
    </r>
    <r>
      <rPr>
        <sz val="9"/>
        <color theme="1"/>
        <rFont val="맑은 고딕"/>
        <family val="3"/>
        <charset val="129"/>
      </rPr>
      <t>작업연결정보를</t>
    </r>
    <r>
      <rPr>
        <sz val="9"/>
        <color theme="1"/>
        <rFont val="Calibri"/>
        <family val="2"/>
      </rPr>
      <t xml:space="preserve"> </t>
    </r>
    <r>
      <rPr>
        <sz val="9"/>
        <color theme="1"/>
        <rFont val="맑은 고딕"/>
        <family val="3"/>
        <charset val="129"/>
      </rPr>
      <t>내려주면</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연결해서</t>
    </r>
    <r>
      <rPr>
        <sz val="9"/>
        <color theme="1"/>
        <rFont val="Calibri"/>
        <family val="2"/>
      </rPr>
      <t xml:space="preserve"> </t>
    </r>
    <r>
      <rPr>
        <sz val="9"/>
        <color theme="1"/>
        <rFont val="맑은 고딕"/>
        <family val="3"/>
        <charset val="129"/>
      </rPr>
      <t>보여준다</t>
    </r>
    <r>
      <rPr>
        <sz val="9"/>
        <color theme="1"/>
        <rFont val="Calibri"/>
        <family val="2"/>
      </rPr>
      <t>.</t>
    </r>
    <phoneticPr fontId="1" type="noConversion"/>
  </si>
  <si>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xlworks.net</t>
    </r>
    <r>
      <rPr>
        <sz val="9"/>
        <color theme="1"/>
        <rFont val="맑은 고딕"/>
        <family val="3"/>
        <charset val="129"/>
      </rPr>
      <t>에서</t>
    </r>
    <r>
      <rPr>
        <sz val="9"/>
        <color theme="1"/>
        <rFont val="Calibri"/>
        <family val="2"/>
      </rPr>
      <t xml:space="preserve"> </t>
    </r>
    <r>
      <rPr>
        <sz val="9"/>
        <color theme="1"/>
        <rFont val="맑은 고딕"/>
        <family val="3"/>
        <charset val="129"/>
      </rPr>
      <t>개발하고</t>
    </r>
    <r>
      <rPr>
        <sz val="9"/>
        <color theme="1"/>
        <rFont val="Calibri"/>
        <family val="2"/>
      </rPr>
      <t xml:space="preserve"> </t>
    </r>
    <r>
      <rPr>
        <sz val="9"/>
        <color theme="1"/>
        <rFont val="맑은 고딕"/>
        <family val="3"/>
        <charset val="129"/>
      </rPr>
      <t>배포하는</t>
    </r>
    <r>
      <rPr>
        <sz val="9"/>
        <color theme="1"/>
        <rFont val="Calibri"/>
        <family val="2"/>
      </rPr>
      <t xml:space="preserve"> </t>
    </r>
    <r>
      <rPr>
        <sz val="9"/>
        <color theme="1"/>
        <rFont val="맑은 고딕"/>
        <family val="3"/>
        <charset val="129"/>
      </rPr>
      <t>무료</t>
    </r>
    <r>
      <rPr>
        <sz val="9"/>
        <color theme="1"/>
        <rFont val="Calibri"/>
        <family val="2"/>
      </rPr>
      <t xml:space="preserve"> </t>
    </r>
    <r>
      <rPr>
        <sz val="9"/>
        <color theme="1"/>
        <rFont val="맑은 고딕"/>
        <family val="3"/>
        <charset val="129"/>
      </rPr>
      <t>소프트웨어</t>
    </r>
    <r>
      <rPr>
        <sz val="9"/>
        <color theme="1"/>
        <rFont val="Calibri"/>
        <family val="2"/>
      </rPr>
      <t>(Freeware)</t>
    </r>
    <r>
      <rPr>
        <sz val="9"/>
        <color theme="1"/>
        <rFont val="맑은 고딕"/>
        <family val="3"/>
        <charset val="129"/>
      </rPr>
      <t>입니다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프로그램은</t>
    </r>
    <r>
      <rPr>
        <sz val="9"/>
        <color theme="1"/>
        <rFont val="Calibri"/>
        <family val="2"/>
      </rPr>
      <t xml:space="preserve"> </t>
    </r>
    <r>
      <rPr>
        <sz val="9"/>
        <color theme="1"/>
        <rFont val="맑은 고딕"/>
        <family val="3"/>
        <charset val="129"/>
      </rPr>
      <t>개인</t>
    </r>
    <r>
      <rPr>
        <sz val="9"/>
        <color theme="1"/>
        <rFont val="Calibri"/>
        <family val="2"/>
      </rPr>
      <t>/</t>
    </r>
    <r>
      <rPr>
        <sz val="9"/>
        <color theme="1"/>
        <rFont val="맑은 고딕"/>
        <family val="3"/>
        <charset val="129"/>
      </rPr>
      <t>기업</t>
    </r>
    <r>
      <rPr>
        <sz val="9"/>
        <color theme="1"/>
        <rFont val="Calibri"/>
        <family val="2"/>
      </rPr>
      <t>/</t>
    </r>
    <r>
      <rPr>
        <sz val="9"/>
        <color theme="1"/>
        <rFont val="맑은 고딕"/>
        <family val="3"/>
        <charset val="129"/>
      </rPr>
      <t>관공서</t>
    </r>
    <r>
      <rPr>
        <sz val="9"/>
        <color theme="1"/>
        <rFont val="Calibri"/>
        <family val="2"/>
      </rPr>
      <t>/</t>
    </r>
    <r>
      <rPr>
        <sz val="9"/>
        <color theme="1"/>
        <rFont val="맑은 고딕"/>
        <family val="3"/>
        <charset val="129"/>
      </rPr>
      <t>학교</t>
    </r>
    <r>
      <rPr>
        <sz val="9"/>
        <color theme="1"/>
        <rFont val="Calibri"/>
        <family val="2"/>
      </rPr>
      <t xml:space="preserve"> </t>
    </r>
    <r>
      <rPr>
        <sz val="9"/>
        <color theme="1"/>
        <rFont val="맑은 고딕"/>
        <family val="3"/>
        <charset val="129"/>
      </rPr>
      <t>등</t>
    </r>
    <r>
      <rPr>
        <sz val="9"/>
        <color theme="1"/>
        <rFont val="Calibri"/>
        <family val="2"/>
      </rPr>
      <t xml:space="preserve"> </t>
    </r>
    <r>
      <rPr>
        <sz val="9"/>
        <color theme="1"/>
        <rFont val="맑은 고딕"/>
        <family val="3"/>
        <charset val="129"/>
      </rPr>
      <t>언제나</t>
    </r>
    <r>
      <rPr>
        <sz val="9"/>
        <color theme="1"/>
        <rFont val="Calibri"/>
        <family val="2"/>
      </rPr>
      <t xml:space="preserve"> </t>
    </r>
    <r>
      <rPr>
        <sz val="9"/>
        <color theme="1"/>
        <rFont val="맑은 고딕"/>
        <family val="3"/>
        <charset val="129"/>
      </rPr>
      <t>어디서나</t>
    </r>
    <r>
      <rPr>
        <sz val="9"/>
        <color theme="1"/>
        <rFont val="Calibri"/>
        <family val="2"/>
      </rPr>
      <t xml:space="preserve"> </t>
    </r>
    <r>
      <rPr>
        <sz val="9"/>
        <color theme="1"/>
        <rFont val="맑은 고딕"/>
        <family val="3"/>
        <charset val="129"/>
      </rPr>
      <t>무료로</t>
    </r>
    <r>
      <rPr>
        <sz val="9"/>
        <color theme="1"/>
        <rFont val="Calibri"/>
        <family val="2"/>
      </rPr>
      <t xml:space="preserve"> </t>
    </r>
    <r>
      <rPr>
        <sz val="9"/>
        <color theme="1"/>
        <rFont val="맑은 고딕"/>
        <family val="3"/>
        <charset val="129"/>
      </rPr>
      <t>사용이</t>
    </r>
    <r>
      <rPr>
        <sz val="9"/>
        <color theme="1"/>
        <rFont val="Calibri"/>
        <family val="2"/>
      </rPr>
      <t xml:space="preserve"> </t>
    </r>
    <r>
      <rPr>
        <sz val="9"/>
        <color theme="1"/>
        <rFont val="맑은 고딕"/>
        <family val="3"/>
        <charset val="129"/>
      </rPr>
      <t>가능합니다</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저작권법과</t>
    </r>
    <r>
      <rPr>
        <sz val="9"/>
        <color theme="1"/>
        <rFont val="Calibri"/>
        <family val="2"/>
      </rPr>
      <t xml:space="preserve"> </t>
    </r>
    <r>
      <rPr>
        <sz val="9"/>
        <color theme="1"/>
        <rFont val="맑은 고딕"/>
        <family val="3"/>
        <charset val="129"/>
      </rPr>
      <t>기타</t>
    </r>
    <r>
      <rPr>
        <sz val="9"/>
        <color theme="1"/>
        <rFont val="Calibri"/>
        <family val="2"/>
      </rPr>
      <t xml:space="preserve"> </t>
    </r>
    <r>
      <rPr>
        <sz val="9"/>
        <color theme="1"/>
        <rFont val="맑은 고딕"/>
        <family val="3"/>
        <charset val="129"/>
      </rPr>
      <t>지적재산권</t>
    </r>
    <r>
      <rPr>
        <sz val="9"/>
        <color theme="1"/>
        <rFont val="Calibri"/>
        <family val="2"/>
      </rPr>
      <t xml:space="preserve"> </t>
    </r>
    <r>
      <rPr>
        <sz val="9"/>
        <color theme="1"/>
        <rFont val="맑은 고딕"/>
        <family val="3"/>
        <charset val="129"/>
      </rPr>
      <t>관련</t>
    </r>
    <r>
      <rPr>
        <sz val="9"/>
        <color theme="1"/>
        <rFont val="Calibri"/>
        <family val="2"/>
      </rPr>
      <t xml:space="preserve"> </t>
    </r>
    <r>
      <rPr>
        <sz val="9"/>
        <color theme="1"/>
        <rFont val="맑은 고딕"/>
        <family val="3"/>
        <charset val="129"/>
      </rPr>
      <t>법률</t>
    </r>
    <r>
      <rPr>
        <sz val="9"/>
        <color theme="1"/>
        <rFont val="Calibri"/>
        <family val="2"/>
      </rPr>
      <t xml:space="preserve"> </t>
    </r>
    <r>
      <rPr>
        <sz val="9"/>
        <color theme="1"/>
        <rFont val="맑은 고딕"/>
        <family val="3"/>
        <charset val="129"/>
      </rPr>
      <t>및</t>
    </r>
    <r>
      <rPr>
        <sz val="9"/>
        <color theme="1"/>
        <rFont val="Calibri"/>
        <family val="2"/>
      </rPr>
      <t xml:space="preserve"> </t>
    </r>
    <r>
      <rPr>
        <sz val="9"/>
        <color theme="1"/>
        <rFont val="맑은 고딕"/>
        <family val="3"/>
        <charset val="129"/>
      </rPr>
      <t>국제</t>
    </r>
    <r>
      <rPr>
        <sz val="9"/>
        <color theme="1"/>
        <rFont val="Calibri"/>
        <family val="2"/>
      </rPr>
      <t xml:space="preserve"> </t>
    </r>
    <r>
      <rPr>
        <sz val="9"/>
        <color theme="1"/>
        <rFont val="맑은 고딕"/>
        <family val="3"/>
        <charset val="129"/>
      </rPr>
      <t>협약에</t>
    </r>
    <r>
      <rPr>
        <sz val="9"/>
        <color theme="1"/>
        <rFont val="Calibri"/>
        <family val="2"/>
      </rPr>
      <t xml:space="preserve"> </t>
    </r>
    <r>
      <rPr>
        <sz val="9"/>
        <color theme="1"/>
        <rFont val="맑은 고딕"/>
        <family val="3"/>
        <charset val="129"/>
      </rPr>
      <t>의해</t>
    </r>
    <r>
      <rPr>
        <sz val="9"/>
        <color theme="1"/>
        <rFont val="Calibri"/>
        <family val="2"/>
      </rPr>
      <t xml:space="preserve"> </t>
    </r>
    <r>
      <rPr>
        <sz val="9"/>
        <color theme="1"/>
        <rFont val="맑은 고딕"/>
        <family val="3"/>
        <charset val="129"/>
      </rPr>
      <t>보호를</t>
    </r>
    <r>
      <rPr>
        <sz val="9"/>
        <color theme="1"/>
        <rFont val="Calibri"/>
        <family val="2"/>
      </rPr>
      <t xml:space="preserve"> </t>
    </r>
    <r>
      <rPr>
        <sz val="9"/>
        <color theme="1"/>
        <rFont val="맑은 고딕"/>
        <family val="3"/>
        <charset val="129"/>
      </rPr>
      <t>받고</t>
    </r>
    <r>
      <rPr>
        <sz val="9"/>
        <color theme="1"/>
        <rFont val="Calibri"/>
        <family val="2"/>
      </rPr>
      <t xml:space="preserve"> </t>
    </r>
    <r>
      <rPr>
        <sz val="9"/>
        <color theme="1"/>
        <rFont val="맑은 고딕"/>
        <family val="3"/>
        <charset val="129"/>
      </rPr>
      <t>있으며</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소프트웨어＂를</t>
    </r>
    <r>
      <rPr>
        <sz val="9"/>
        <color theme="1"/>
        <rFont val="Calibri"/>
        <family val="2"/>
      </rPr>
      <t xml:space="preserve"> </t>
    </r>
    <r>
      <rPr>
        <sz val="9"/>
        <color theme="1"/>
        <rFont val="맑은 고딕"/>
        <family val="3"/>
        <charset val="129"/>
      </rPr>
      <t>개작하거나</t>
    </r>
    <r>
      <rPr>
        <sz val="9"/>
        <color theme="1"/>
        <rFont val="Calibri"/>
        <family val="2"/>
      </rPr>
      <t xml:space="preserve"> </t>
    </r>
    <r>
      <rPr>
        <sz val="9"/>
        <color theme="1"/>
        <rFont val="맑은 고딕"/>
        <family val="3"/>
        <charset val="129"/>
      </rPr>
      <t>리버스</t>
    </r>
    <r>
      <rPr>
        <sz val="9"/>
        <color theme="1"/>
        <rFont val="Calibri"/>
        <family val="2"/>
      </rPr>
      <t xml:space="preserve"> </t>
    </r>
    <r>
      <rPr>
        <sz val="9"/>
        <color theme="1"/>
        <rFont val="맑은 고딕"/>
        <family val="3"/>
        <charset val="129"/>
      </rPr>
      <t>엔지니어링</t>
    </r>
    <r>
      <rPr>
        <sz val="9"/>
        <color theme="1"/>
        <rFont val="Calibri"/>
        <family val="2"/>
      </rPr>
      <t xml:space="preserve">, </t>
    </r>
    <r>
      <rPr>
        <sz val="9"/>
        <color theme="1"/>
        <rFont val="맑은 고딕"/>
        <family val="3"/>
        <charset val="129"/>
      </rPr>
      <t>디컴파일</t>
    </r>
    <r>
      <rPr>
        <sz val="9"/>
        <color theme="1"/>
        <rFont val="Calibri"/>
        <family val="2"/>
      </rPr>
      <t xml:space="preserve">, </t>
    </r>
    <r>
      <rPr>
        <sz val="9"/>
        <color theme="1"/>
        <rFont val="맑은 고딕"/>
        <family val="3"/>
        <charset val="129"/>
      </rPr>
      <t>디스어셈블</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소프트웨어의</t>
    </r>
    <r>
      <rPr>
        <sz val="9"/>
        <color theme="1"/>
        <rFont val="Calibri"/>
        <family val="2"/>
      </rPr>
      <t xml:space="preserve"> </t>
    </r>
    <r>
      <rPr>
        <sz val="9"/>
        <color theme="1"/>
        <rFont val="맑은 고딕"/>
        <family val="3"/>
        <charset val="129"/>
      </rPr>
      <t>일부분으로</t>
    </r>
    <r>
      <rPr>
        <sz val="9"/>
        <color theme="1"/>
        <rFont val="Calibri"/>
        <family val="2"/>
      </rPr>
      <t xml:space="preserve"> </t>
    </r>
    <r>
      <rPr>
        <sz val="9"/>
        <color theme="1"/>
        <rFont val="맑은 고딕"/>
        <family val="3"/>
        <charset val="129"/>
      </rPr>
      <t>포함하여</t>
    </r>
    <r>
      <rPr>
        <sz val="9"/>
        <color theme="1"/>
        <rFont val="Calibri"/>
        <family val="2"/>
      </rPr>
      <t xml:space="preserve"> </t>
    </r>
    <r>
      <rPr>
        <sz val="9"/>
        <color theme="1"/>
        <rFont val="맑은 고딕"/>
        <family val="3"/>
        <charset val="129"/>
      </rPr>
      <t>제작</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</si>
  <si>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오류의</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.\n\n1. Schedule </t>
    </r>
    <r>
      <rPr>
        <sz val="9"/>
        <color theme="1"/>
        <rFont val="맑은 고딕"/>
        <family val="3"/>
        <charset val="129"/>
      </rPr>
      <t>시트에</t>
    </r>
    <r>
      <rPr>
        <sz val="9"/>
        <color theme="1"/>
        <rFont val="Calibri"/>
        <family val="2"/>
      </rPr>
      <t xml:space="preserve"> </t>
    </r>
    <r>
      <rPr>
        <sz val="9"/>
        <color theme="1"/>
        <rFont val="맑은 고딕"/>
        <family val="3"/>
        <charset val="129"/>
      </rPr>
      <t>잘못된</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입력되었습니다</t>
    </r>
    <r>
      <rPr>
        <sz val="9"/>
        <color theme="1"/>
        <rFont val="Calibri"/>
        <family val="2"/>
      </rPr>
      <t>(</t>
    </r>
    <r>
      <rPr>
        <sz val="9"/>
        <color theme="1"/>
        <rFont val="맑은 고딕"/>
        <family val="3"/>
        <charset val="129"/>
      </rPr>
      <t>예</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곳에</t>
    </r>
    <r>
      <rPr>
        <sz val="9"/>
        <color theme="1"/>
        <rFont val="Calibri"/>
        <family val="2"/>
      </rPr>
      <t xml:space="preserve"> </t>
    </r>
    <r>
      <rPr>
        <sz val="9"/>
        <color theme="1"/>
        <rFont val="맑은 고딕"/>
        <family val="3"/>
        <charset val="129"/>
      </rPr>
      <t>등호</t>
    </r>
    <r>
      <rPr>
        <sz val="9"/>
        <color theme="1"/>
        <rFont val="Calibri"/>
        <family val="2"/>
      </rPr>
      <t>(=)</t>
    </r>
    <r>
      <rPr>
        <sz val="9"/>
        <color theme="1"/>
        <rFont val="맑은 고딕"/>
        <family val="3"/>
        <charset val="129"/>
      </rPr>
      <t>로</t>
    </r>
    <r>
      <rPr>
        <sz val="9"/>
        <color theme="1"/>
        <rFont val="Calibri"/>
        <family val="2"/>
      </rPr>
      <t xml:space="preserve"> </t>
    </r>
    <r>
      <rPr>
        <sz val="9"/>
        <color theme="1"/>
        <rFont val="맑은 고딕"/>
        <family val="3"/>
        <charset val="129"/>
      </rPr>
      <t>시작하는</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입력됨</t>
    </r>
    <r>
      <rPr>
        <sz val="9"/>
        <color theme="1"/>
        <rFont val="Calibri"/>
        <family val="2"/>
      </rPr>
      <t xml:space="preserve">).\n\n2. {1} </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</si>
  <si>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code:{2}\n\n</t>
    </r>
    <r>
      <rPr>
        <sz val="9"/>
        <color theme="1"/>
        <rFont val="맑은 고딕"/>
        <family val="3"/>
        <charset val="129"/>
      </rPr>
      <t>이</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파일이</t>
    </r>
    <r>
      <rPr>
        <sz val="9"/>
        <color theme="1"/>
        <rFont val="Calibri"/>
        <family val="2"/>
      </rPr>
      <t xml:space="preserve"> Microsoft OneDrive </t>
    </r>
    <r>
      <rPr>
        <sz val="9"/>
        <color theme="1"/>
        <rFont val="맑은 고딕"/>
        <family val="3"/>
        <charset val="129"/>
      </rPr>
      <t>등</t>
    </r>
    <r>
      <rPr>
        <sz val="9"/>
        <color theme="1"/>
        <rFont val="Calibri"/>
        <family val="2"/>
      </rPr>
      <t xml:space="preserve"> </t>
    </r>
    <r>
      <rPr>
        <sz val="9"/>
        <color theme="1"/>
        <rFont val="맑은 고딕"/>
        <family val="3"/>
        <charset val="129"/>
      </rPr>
      <t>클라우드</t>
    </r>
    <r>
      <rPr>
        <sz val="9"/>
        <color theme="1"/>
        <rFont val="Calibri"/>
        <family val="2"/>
      </rPr>
      <t xml:space="preserve"> </t>
    </r>
    <r>
      <rPr>
        <sz val="9"/>
        <color theme="1"/>
        <rFont val="맑은 고딕"/>
        <family val="3"/>
        <charset val="129"/>
      </rPr>
      <t>저장소에</t>
    </r>
    <r>
      <rPr>
        <sz val="9"/>
        <color theme="1"/>
        <rFont val="Calibri"/>
        <family val="2"/>
      </rPr>
      <t xml:space="preserve"> </t>
    </r>
    <r>
      <rPr>
        <sz val="9"/>
        <color theme="1"/>
        <rFont val="맑은 고딕"/>
        <family val="3"/>
        <charset val="129"/>
      </rPr>
      <t>저장되어</t>
    </r>
    <r>
      <rPr>
        <sz val="9"/>
        <color theme="1"/>
        <rFont val="Calibri"/>
        <family val="2"/>
      </rPr>
      <t xml:space="preserve"> </t>
    </r>
    <r>
      <rPr>
        <sz val="9"/>
        <color theme="1"/>
        <rFont val="맑은 고딕"/>
        <family val="3"/>
        <charset val="129"/>
      </rPr>
      <t>있다면</t>
    </r>
    <r>
      <rPr>
        <sz val="9"/>
        <color theme="1"/>
        <rFont val="Calibri"/>
        <family val="2"/>
      </rPr>
      <t xml:space="preserve"> PC</t>
    </r>
    <r>
      <rPr>
        <sz val="9"/>
        <color theme="1"/>
        <rFont val="맑은 고딕"/>
        <family val="3"/>
        <charset val="129"/>
      </rPr>
      <t>의</t>
    </r>
    <r>
      <rPr>
        <sz val="9"/>
        <color theme="1"/>
        <rFont val="Calibri"/>
        <family val="2"/>
      </rPr>
      <t xml:space="preserve"> </t>
    </r>
    <r>
      <rPr>
        <sz val="9"/>
        <color theme="1"/>
        <rFont val="맑은 고딕"/>
        <family val="3"/>
        <charset val="129"/>
      </rPr>
      <t>로컬드라이브로</t>
    </r>
    <r>
      <rPr>
        <sz val="9"/>
        <color theme="1"/>
        <rFont val="Calibri"/>
        <family val="2"/>
      </rPr>
      <t xml:space="preserve"> </t>
    </r>
    <r>
      <rPr>
        <sz val="9"/>
        <color theme="1"/>
        <rFont val="맑은 고딕"/>
        <family val="3"/>
        <charset val="129"/>
      </rPr>
      <t>옮겨서</t>
    </r>
    <r>
      <rPr>
        <sz val="9"/>
        <color theme="1"/>
        <rFont val="Calibri"/>
        <family val="2"/>
      </rPr>
      <t xml:space="preserve"> </t>
    </r>
    <r>
      <rPr>
        <sz val="9"/>
        <color theme="1"/>
        <rFont val="맑은 고딕"/>
        <family val="3"/>
        <charset val="129"/>
      </rPr>
      <t>사용하세요</t>
    </r>
    <r>
      <rPr>
        <sz val="9"/>
        <color theme="1"/>
        <rFont val="Calibri"/>
        <family val="2"/>
      </rPr>
      <t>.</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</si>
  <si>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t>
    </r>
    <phoneticPr fontId="1" type="noConversion"/>
  </si>
  <si>
    <r>
      <t xml:space="preserve"> Source</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Target</t>
    </r>
    <r>
      <rPr>
        <sz val="9"/>
        <color theme="1"/>
        <rFont val="맑은 고딕"/>
        <family val="3"/>
        <charset val="129"/>
      </rPr>
      <t>필드</t>
    </r>
    <r>
      <rPr>
        <sz val="9"/>
        <color theme="1"/>
        <rFont val="Calibri"/>
        <family val="2"/>
      </rPr>
      <t xml:space="preserve"> </t>
    </r>
    <r>
      <rPr>
        <sz val="9"/>
        <color theme="1"/>
        <rFont val="맑은 고딕"/>
        <family val="3"/>
        <charset val="129"/>
      </rPr>
      <t>명</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</si>
  <si>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값</t>
    </r>
    <r>
      <rPr>
        <sz val="9"/>
        <color theme="1"/>
        <rFont val="Calibri"/>
        <family val="2"/>
      </rPr>
      <t xml:space="preserve"> </t>
    </r>
    <r>
      <rPr>
        <sz val="9"/>
        <color theme="1"/>
        <rFont val="맑은 고딕"/>
        <family val="3"/>
        <charset val="129"/>
      </rPr>
      <t>예시</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</si>
  <si>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값</t>
    </r>
  </si>
  <si>
    <r>
      <t xml:space="preserve"> Mapping</t>
    </r>
    <r>
      <rPr>
        <sz val="9"/>
        <color theme="1"/>
        <rFont val="맑은 고딕"/>
        <family val="3"/>
        <charset val="129"/>
      </rPr>
      <t>된</t>
    </r>
    <r>
      <rPr>
        <sz val="9"/>
        <color theme="1"/>
        <rFont val="Calibri"/>
        <family val="2"/>
      </rPr>
      <t xml:space="preserve"> </t>
    </r>
    <r>
      <rPr>
        <sz val="9"/>
        <color theme="1"/>
        <rFont val="맑은 고딕"/>
        <family val="3"/>
        <charset val="129"/>
      </rPr>
      <t>상태</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</si>
  <si>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휴무일</t>
    </r>
    <r>
      <rPr>
        <sz val="9"/>
        <color theme="1"/>
        <rFont val="Calibri"/>
        <family val="2"/>
      </rPr>
      <t xml:space="preserve"> Calendar </t>
    </r>
    <r>
      <rPr>
        <sz val="9"/>
        <color theme="1"/>
        <rFont val="맑은 고딕"/>
        <family val="3"/>
        <charset val="129"/>
      </rPr>
      <t>설정</t>
    </r>
  </si>
  <si>
    <r>
      <rPr>
        <sz val="9"/>
        <color theme="1"/>
        <rFont val="맑은 고딕"/>
        <family val="3"/>
        <charset val="129"/>
      </rPr>
      <t>실적진척율은</t>
    </r>
    <r>
      <rPr>
        <sz val="9"/>
        <color theme="1"/>
        <rFont val="Calibri"/>
        <family val="2"/>
      </rPr>
      <t xml:space="preserve"> 0~100% </t>
    </r>
    <r>
      <rPr>
        <sz val="9"/>
        <color theme="1"/>
        <rFont val="맑은 고딕"/>
        <family val="3"/>
        <charset val="129"/>
      </rPr>
      <t>범위만</t>
    </r>
    <r>
      <rPr>
        <sz val="9"/>
        <color theme="1"/>
        <rFont val="Calibri"/>
        <family val="2"/>
      </rPr>
      <t xml:space="preserve"> </t>
    </r>
    <r>
      <rPr>
        <sz val="9"/>
        <color theme="1"/>
        <rFont val="맑은 고딕"/>
        <family val="3"/>
        <charset val="129"/>
      </rPr>
      <t>입력가능합니다</t>
    </r>
    <r>
      <rPr>
        <sz val="9"/>
        <color theme="1"/>
        <rFont val="Calibri"/>
        <family val="2"/>
      </rPr>
      <t>.</t>
    </r>
  </si>
  <si>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 xml:space="preserve">. </t>
    </r>
    <r>
      <rPr>
        <sz val="9"/>
        <color theme="1"/>
        <rFont val="맑은 고딕"/>
        <family val="3"/>
        <charset val="129"/>
      </rPr>
      <t>개요수준대신</t>
    </r>
    <r>
      <rPr>
        <sz val="9"/>
        <color theme="1"/>
        <rFont val="Calibri"/>
        <family val="2"/>
      </rPr>
      <t xml:space="preserve"> WBS</t>
    </r>
    <r>
      <rPr>
        <sz val="9"/>
        <color theme="1"/>
        <rFont val="맑은 고딕"/>
        <family val="3"/>
        <charset val="129"/>
      </rPr>
      <t>필드</t>
    </r>
    <r>
      <rPr>
        <sz val="9"/>
        <color theme="1"/>
        <rFont val="Calibri"/>
        <family val="2"/>
      </rPr>
      <t xml:space="preserve">(1.3.2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t>
    </r>
  </si>
  <si>
    <r>
      <t xml:space="preserve">WBS(Work Breakdown Structure) </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표시됩니다</t>
    </r>
    <r>
      <rPr>
        <sz val="9"/>
        <color theme="1"/>
        <rFont val="Calibri"/>
        <family val="2"/>
      </rPr>
      <t>. WBS</t>
    </r>
    <r>
      <rPr>
        <sz val="9"/>
        <color theme="1"/>
        <rFont val="맑은 고딕"/>
        <family val="3"/>
        <charset val="129"/>
      </rPr>
      <t>대신</t>
    </r>
    <r>
      <rPr>
        <sz val="9"/>
        <color theme="1"/>
        <rFont val="Calibri"/>
        <family val="2"/>
      </rPr>
      <t xml:space="preserve"> </t>
    </r>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t>
    </r>
  </si>
  <si>
    <r>
      <rPr>
        <sz val="9"/>
        <color theme="1"/>
        <rFont val="맑은 고딕"/>
        <family val="3"/>
        <charset val="129"/>
      </rPr>
      <t>실적진척율</t>
    </r>
  </si>
  <si>
    <r>
      <rPr>
        <sz val="9"/>
        <color theme="1"/>
        <rFont val="맑은 고딕"/>
        <family val="3"/>
        <charset val="129"/>
      </rPr>
      <t>실적</t>
    </r>
    <r>
      <rPr>
        <sz val="9"/>
        <color theme="1"/>
        <rFont val="Calibri"/>
        <family val="2"/>
      </rPr>
      <t xml:space="preserve"> </t>
    </r>
    <r>
      <rPr>
        <sz val="9"/>
        <color theme="1"/>
        <rFont val="맑은 고딕"/>
        <family val="3"/>
        <charset val="129"/>
      </rPr>
      <t>진척율</t>
    </r>
    <r>
      <rPr>
        <sz val="9"/>
        <color theme="1"/>
        <rFont val="Calibri"/>
        <family val="2"/>
      </rPr>
      <t>(B)</t>
    </r>
  </si>
  <si>
    <r>
      <rPr>
        <sz val="9"/>
        <color theme="1"/>
        <rFont val="맑은 고딕"/>
        <family val="3"/>
        <charset val="129"/>
      </rPr>
      <t>실적</t>
    </r>
    <r>
      <rPr>
        <sz val="9"/>
        <color theme="1"/>
        <rFont val="Calibri"/>
        <family val="2"/>
      </rPr>
      <t>(C/A)</t>
    </r>
  </si>
  <si>
    <r>
      <rPr>
        <sz val="9"/>
        <color theme="1"/>
        <rFont val="맑은 고딕"/>
        <family val="3"/>
        <charset val="129"/>
      </rPr>
      <t>실적</t>
    </r>
  </si>
  <si>
    <r>
      <t>(</t>
    </r>
    <r>
      <rPr>
        <sz val="9"/>
        <color theme="1"/>
        <rFont val="맑은 고딕"/>
        <family val="3"/>
        <charset val="129"/>
      </rPr>
      <t>숨겨진</t>
    </r>
    <r>
      <rPr>
        <sz val="9"/>
        <color theme="1"/>
        <rFont val="Calibri"/>
        <family val="2"/>
      </rPr>
      <t xml:space="preserve"> </t>
    </r>
    <r>
      <rPr>
        <sz val="9"/>
        <color theme="1"/>
        <rFont val="맑은 고딕"/>
        <family val="3"/>
        <charset val="129"/>
      </rPr>
      <t>시트</t>
    </r>
    <r>
      <rPr>
        <sz val="9"/>
        <color theme="1"/>
        <rFont val="Calibri"/>
        <family val="2"/>
      </rPr>
      <t xml:space="preserve">) </t>
    </r>
    <r>
      <rPr>
        <sz val="9"/>
        <color theme="1"/>
        <rFont val="맑은 고딕"/>
        <family val="3"/>
        <charset val="129"/>
      </rPr>
      <t>언어별</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들어</t>
    </r>
    <r>
      <rPr>
        <sz val="9"/>
        <color theme="1"/>
        <rFont val="Calibri"/>
        <family val="2"/>
      </rPr>
      <t xml:space="preserve"> </t>
    </r>
    <r>
      <rPr>
        <sz val="9"/>
        <color theme="1"/>
        <rFont val="맑은 고딕"/>
        <family val="3"/>
        <charset val="129"/>
      </rPr>
      <t>있다</t>
    </r>
    <r>
      <rPr>
        <sz val="9"/>
        <color theme="1"/>
        <rFont val="Calibri"/>
        <family val="2"/>
      </rPr>
      <t>.</t>
    </r>
  </si>
  <si>
    <r>
      <t>(</t>
    </r>
    <r>
      <rPr>
        <sz val="9"/>
        <color theme="1"/>
        <rFont val="맑은 고딕"/>
        <family val="3"/>
        <charset val="129"/>
      </rPr>
      <t>담당자미지정</t>
    </r>
    <r>
      <rPr>
        <sz val="9"/>
        <color theme="1"/>
        <rFont val="Calibri"/>
        <family val="2"/>
      </rPr>
      <t>)</t>
    </r>
    <phoneticPr fontId="1" type="noConversion"/>
  </si>
  <si>
    <r>
      <t>* "</t>
    </r>
    <r>
      <rPr>
        <sz val="9"/>
        <color theme="1"/>
        <rFont val="맑은 고딕"/>
        <family val="3"/>
        <charset val="129"/>
      </rPr>
      <t>스케줄업데이트</t>
    </r>
    <r>
      <rPr>
        <sz val="9"/>
        <color theme="1"/>
        <rFont val="Calibri"/>
        <family val="2"/>
      </rPr>
      <t xml:space="preserve">" </t>
    </r>
    <r>
      <rPr>
        <sz val="9"/>
        <color theme="1"/>
        <rFont val="맑은 고딕"/>
        <family val="3"/>
        <charset val="129"/>
      </rPr>
      <t>버튼</t>
    </r>
    <r>
      <rPr>
        <sz val="9"/>
        <color theme="1"/>
        <rFont val="Calibri"/>
        <family val="2"/>
      </rPr>
      <t xml:space="preserve"> </t>
    </r>
    <r>
      <rPr>
        <sz val="9"/>
        <color theme="1"/>
        <rFont val="맑은 고딕"/>
        <family val="3"/>
        <charset val="129"/>
      </rPr>
      <t>클릭</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항목이</t>
    </r>
    <r>
      <rPr>
        <sz val="9"/>
        <color theme="1"/>
        <rFont val="Calibri"/>
        <family val="2"/>
      </rPr>
      <t xml:space="preserve"> </t>
    </r>
    <r>
      <rPr>
        <sz val="9"/>
        <color theme="1"/>
        <rFont val="맑은 고딕"/>
        <family val="3"/>
        <charset val="129"/>
      </rPr>
      <t>자동계산됩니다</t>
    </r>
    <r>
      <rPr>
        <sz val="9"/>
        <color theme="1"/>
        <rFont val="Calibri"/>
        <family val="2"/>
      </rPr>
      <t>.</t>
    </r>
  </si>
  <si>
    <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</si>
  <si>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t xml:space="preserve">*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Excel</t>
    </r>
    <r>
      <rPr>
        <sz val="9"/>
        <color theme="1"/>
        <rFont val="맑은 고딕"/>
        <family val="3"/>
        <charset val="129"/>
      </rPr>
      <t>파일</t>
    </r>
    <r>
      <rPr>
        <sz val="9"/>
        <color theme="1"/>
        <rFont val="Calibri"/>
        <family val="2"/>
      </rPr>
      <t>(1</t>
    </r>
    <r>
      <rPr>
        <sz val="9"/>
        <color theme="1"/>
        <rFont val="맑은 고딕"/>
        <family val="3"/>
        <charset val="129"/>
      </rPr>
      <t>행은</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파일</t>
    </r>
    <r>
      <rPr>
        <sz val="9"/>
        <color theme="1"/>
        <rFont val="Calibri"/>
        <family val="2"/>
      </rPr>
      <t xml:space="preserve">)\n* </t>
    </r>
    <r>
      <rPr>
        <sz val="9"/>
        <color theme="1"/>
        <rFont val="맑은 고딕"/>
        <family val="3"/>
        <charset val="129"/>
      </rPr>
      <t>자료갯수</t>
    </r>
    <r>
      <rPr>
        <sz val="9"/>
        <color theme="1"/>
        <rFont val="Calibri"/>
        <family val="2"/>
      </rPr>
      <t xml:space="preserve"> </t>
    </r>
    <r>
      <rPr>
        <sz val="9"/>
        <color theme="1"/>
        <rFont val="맑은 고딕"/>
        <family val="3"/>
        <charset val="129"/>
      </rPr>
      <t>제한</t>
    </r>
    <r>
      <rPr>
        <sz val="9"/>
        <color theme="1"/>
        <rFont val="Calibri"/>
        <family val="2"/>
      </rPr>
      <t xml:space="preserve"> </t>
    </r>
    <r>
      <rPr>
        <sz val="9"/>
        <color theme="1"/>
        <rFont val="맑은 고딕"/>
        <family val="3"/>
        <charset val="129"/>
      </rPr>
      <t>없음</t>
    </r>
    <r>
      <rPr>
        <sz val="9"/>
        <color theme="1"/>
        <rFont val="Calibri"/>
        <family val="2"/>
      </rPr>
      <t xml:space="preserve">\n* </t>
    </r>
    <r>
      <rPr>
        <sz val="9"/>
        <color theme="1"/>
        <rFont val="맑은 고딕"/>
        <family val="3"/>
        <charset val="129"/>
      </rPr>
      <t>한번에</t>
    </r>
    <r>
      <rPr>
        <sz val="9"/>
        <color theme="1"/>
        <rFont val="Calibri"/>
        <family val="2"/>
      </rPr>
      <t xml:space="preserve"> </t>
    </r>
    <r>
      <rPr>
        <sz val="9"/>
        <color theme="1"/>
        <rFont val="맑은 고딕"/>
        <family val="3"/>
        <charset val="129"/>
      </rPr>
      <t>한개의</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처리됨</t>
    </r>
  </si>
  <si>
    <r>
      <t xml:space="preserve">* </t>
    </r>
    <r>
      <rPr>
        <sz val="9"/>
        <color theme="1"/>
        <rFont val="맑은 고딕"/>
        <family val="3"/>
        <charset val="129"/>
      </rPr>
      <t>월별로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</si>
  <si>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주별로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</si>
  <si>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담당별로</t>
    </r>
    <r>
      <rPr>
        <sz val="9"/>
        <color theme="1"/>
        <rFont val="Calibri"/>
        <family val="2"/>
      </rPr>
      <t xml:space="preserve"> </t>
    </r>
    <r>
      <rPr>
        <sz val="9"/>
        <color theme="1"/>
        <rFont val="맑은 고딕"/>
        <family val="3"/>
        <charset val="129"/>
      </rPr>
      <t>투입된</t>
    </r>
    <r>
      <rPr>
        <sz val="9"/>
        <color theme="1"/>
        <rFont val="Calibri"/>
        <family val="2"/>
      </rPr>
      <t xml:space="preserve"> Task</t>
    </r>
    <r>
      <rPr>
        <sz val="9"/>
        <color theme="1"/>
        <rFont val="맑은 고딕"/>
        <family val="3"/>
        <charset val="129"/>
      </rPr>
      <t>와</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계획작업량</t>
    </r>
    <r>
      <rPr>
        <sz val="9"/>
        <color theme="1"/>
        <rFont val="Calibri"/>
        <family val="2"/>
      </rPr>
      <t xml:space="preserve">, </t>
    </r>
    <r>
      <rPr>
        <sz val="9"/>
        <color theme="1"/>
        <rFont val="맑은 고딕"/>
        <family val="3"/>
        <charset val="129"/>
      </rPr>
      <t>진척작업을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보여주고</t>
    </r>
    <r>
      <rPr>
        <sz val="9"/>
        <color theme="1"/>
        <rFont val="Calibri"/>
        <family val="2"/>
      </rPr>
      <t xml:space="preserve">, </t>
    </r>
    <r>
      <rPr>
        <sz val="9"/>
        <color theme="1"/>
        <rFont val="맑은 고딕"/>
        <family val="3"/>
        <charset val="129"/>
      </rPr>
      <t>계획</t>
    </r>
    <r>
      <rPr>
        <sz val="9"/>
        <color theme="1"/>
        <rFont val="Calibri"/>
        <family val="2"/>
      </rPr>
      <t>/</t>
    </r>
    <r>
      <rPr>
        <sz val="9"/>
        <color theme="1"/>
        <rFont val="맑은 고딕"/>
        <family val="3"/>
        <charset val="129"/>
      </rPr>
      <t>실적</t>
    </r>
    <r>
      <rPr>
        <sz val="9"/>
        <color theme="1"/>
        <rFont val="Calibri"/>
        <family val="2"/>
      </rPr>
      <t xml:space="preserve"> </t>
    </r>
    <r>
      <rPr>
        <sz val="9"/>
        <color theme="1"/>
        <rFont val="맑은 고딕"/>
        <family val="3"/>
        <charset val="129"/>
      </rPr>
      <t>진행율을</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</si>
  <si>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담당별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</si>
  <si>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월별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</si>
  <si>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작업량과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보여줍니다</t>
    </r>
    <r>
      <rPr>
        <sz val="9"/>
        <color theme="1"/>
        <rFont val="Calibri"/>
        <family val="2"/>
      </rPr>
      <t>.</t>
    </r>
  </si>
  <si>
    <r>
      <t>*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</si>
  <si>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</si>
  <si>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담당별진행율</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</si>
  <si>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담당별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</si>
  <si>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"Workload(</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</si>
  <si>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Outlook</t>
    </r>
    <r>
      <rPr>
        <sz val="9"/>
        <color theme="1"/>
        <rFont val="맑은 고딕"/>
        <family val="3"/>
        <charset val="129"/>
      </rPr>
      <t>일정이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</si>
  <si>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Outlook</t>
    </r>
    <r>
      <rPr>
        <sz val="9"/>
        <color theme="1"/>
        <rFont val="맑은 고딕"/>
        <family val="3"/>
        <charset val="129"/>
      </rPr>
      <t>작업이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</si>
  <si>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 xml:space="preserve">{} </t>
    </r>
    <r>
      <rPr>
        <sz val="9"/>
        <color theme="1"/>
        <rFont val="맑은 고딕"/>
        <family val="3"/>
        <charset val="129"/>
      </rPr>
      <t>파일이</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</si>
  <si>
    <r>
      <t xml:space="preserve">&lt;&lt; </t>
    </r>
    <r>
      <rPr>
        <sz val="9"/>
        <color theme="1"/>
        <rFont val="맑은 고딕"/>
        <family val="3"/>
        <charset val="129"/>
      </rPr>
      <t>제거</t>
    </r>
  </si>
  <si>
    <r>
      <t>&lt;&lt; Mapping</t>
    </r>
    <r>
      <rPr>
        <sz val="9"/>
        <color theme="1"/>
        <rFont val="맑은 고딕"/>
        <family val="3"/>
        <charset val="129"/>
      </rPr>
      <t>취소</t>
    </r>
  </si>
  <si>
    <r>
      <rPr>
        <sz val="9"/>
        <color theme="1"/>
        <rFont val="맑은 고딕"/>
        <family val="3"/>
        <charset val="129"/>
      </rPr>
      <t>누적</t>
    </r>
    <r>
      <rPr>
        <sz val="9"/>
        <color theme="1"/>
        <rFont val="Calibri"/>
        <family val="2"/>
      </rPr>
      <t>\nMan-Day</t>
    </r>
  </si>
  <si>
    <r>
      <rPr>
        <sz val="9"/>
        <color theme="1"/>
        <rFont val="맑은 고딕"/>
        <family val="3"/>
        <charset val="129"/>
      </rPr>
      <t>실적</t>
    </r>
    <phoneticPr fontId="1" type="noConversion"/>
  </si>
  <si>
    <r>
      <rPr>
        <sz val="9"/>
        <color theme="1"/>
        <rFont val="맑은 고딕"/>
        <family val="3"/>
        <charset val="129"/>
      </rPr>
      <t>실적진척율에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</si>
  <si>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현재날짜까지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실적진척율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</si>
  <si>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실제</t>
    </r>
    <r>
      <rPr>
        <sz val="9"/>
        <color theme="1"/>
        <rFont val="Calibri"/>
        <family val="2"/>
      </rPr>
      <t xml:space="preserve"> </t>
    </r>
    <r>
      <rPr>
        <sz val="9"/>
        <color theme="1"/>
        <rFont val="맑은 고딕"/>
        <family val="3"/>
        <charset val="129"/>
      </rPr>
      <t>누적</t>
    </r>
    <r>
      <rPr>
        <sz val="9"/>
        <color theme="1"/>
        <rFont val="Calibri"/>
        <family val="2"/>
      </rPr>
      <t>\nMan-Day</t>
    </r>
    <phoneticPr fontId="1" type="noConversion"/>
  </si>
  <si>
    <r>
      <rPr>
        <sz val="9"/>
        <color theme="1"/>
        <rFont val="맑은 고딕"/>
        <family val="3"/>
        <charset val="129"/>
      </rPr>
      <t>실제완료일</t>
    </r>
  </si>
  <si>
    <r>
      <rPr>
        <sz val="9"/>
        <color theme="1"/>
        <rFont val="맑은 고딕"/>
        <family val="3"/>
        <charset val="129"/>
      </rPr>
      <t>실제완료일자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</si>
  <si>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실제종료일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</si>
  <si>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</si>
  <si>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</si>
  <si>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t>
    </r>
    <r>
      <rPr>
        <sz val="9"/>
        <color theme="1"/>
        <rFont val="Calibri"/>
        <family val="2"/>
      </rPr>
      <t xml:space="preserve"> Man-Day</t>
    </r>
    <phoneticPr fontId="1" type="noConversion"/>
  </si>
  <si>
    <r>
      <rPr>
        <sz val="9"/>
        <color theme="1"/>
        <rFont val="맑은 고딕"/>
        <family val="3"/>
        <charset val="129"/>
      </rPr>
      <t>실제진척율</t>
    </r>
    <phoneticPr fontId="1" type="noConversion"/>
  </si>
  <si>
    <r>
      <rPr>
        <sz val="9"/>
        <color theme="1"/>
        <rFont val="맑은 고딕"/>
        <family val="3"/>
        <charset val="129"/>
      </rPr>
      <t>실제진척율</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진척된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로</t>
    </r>
    <r>
      <rPr>
        <sz val="9"/>
        <color theme="1"/>
        <rFont val="Calibri"/>
        <family val="2"/>
      </rPr>
      <t xml:space="preserve"> </t>
    </r>
    <r>
      <rPr>
        <sz val="9"/>
        <color theme="1"/>
        <rFont val="맑은 고딕"/>
        <family val="3"/>
        <charset val="129"/>
      </rPr>
      <t>표현합니다</t>
    </r>
    <r>
      <rPr>
        <sz val="9"/>
        <color theme="1"/>
        <rFont val="Calibri"/>
        <family val="2"/>
      </rPr>
      <t>.</t>
    </r>
  </si>
  <si>
    <r>
      <rPr>
        <sz val="9"/>
        <color theme="1"/>
        <rFont val="맑은 고딕"/>
        <family val="3"/>
        <charset val="129"/>
      </rPr>
      <t>실제시작일</t>
    </r>
  </si>
  <si>
    <r>
      <rPr>
        <sz val="9"/>
        <color theme="1"/>
        <rFont val="맑은 고딕"/>
        <family val="3"/>
        <charset val="129"/>
      </rPr>
      <t>실제시작일자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</si>
  <si>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</si>
  <si>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</si>
  <si>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</si>
  <si>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실제총기간</t>
    </r>
  </si>
  <si>
    <r>
      <rPr>
        <sz val="9"/>
        <color theme="1"/>
        <rFont val="맑은 고딕"/>
        <family val="3"/>
        <charset val="129"/>
      </rPr>
      <t>실제총작업량</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</si>
  <si>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\nMan-day</t>
    </r>
  </si>
  <si>
    <r>
      <rPr>
        <sz val="9"/>
        <color theme="1"/>
        <rFont val="맑은 고딕"/>
        <family val="3"/>
        <charset val="129"/>
      </rPr>
      <t>실제</t>
    </r>
    <r>
      <rPr>
        <sz val="9"/>
        <color theme="1"/>
        <rFont val="Calibri"/>
        <family val="2"/>
      </rPr>
      <t xml:space="preserve"> </t>
    </r>
    <r>
      <rPr>
        <sz val="9"/>
        <color theme="1"/>
        <rFont val="맑은 고딕"/>
        <family val="3"/>
        <charset val="129"/>
      </rPr>
      <t>총기간</t>
    </r>
    <r>
      <rPr>
        <sz val="9"/>
        <color theme="1"/>
        <rFont val="Calibri"/>
        <family val="2"/>
      </rPr>
      <t>__(</t>
    </r>
    <r>
      <rPr>
        <sz val="9"/>
        <color theme="1"/>
        <rFont val="맑은 고딕"/>
        <family val="3"/>
        <charset val="129"/>
      </rPr>
      <t>전체</t>
    </r>
    <r>
      <rPr>
        <sz val="9"/>
        <color theme="1"/>
        <rFont val="Calibri"/>
        <family val="2"/>
      </rPr>
      <t xml:space="preserve"> </t>
    </r>
    <r>
      <rPr>
        <sz val="9"/>
        <color theme="1"/>
        <rFont val="맑은 고딕"/>
        <family val="3"/>
        <charset val="129"/>
      </rPr>
      <t>기간</t>
    </r>
    <r>
      <rPr>
        <sz val="9"/>
        <color theme="1"/>
        <rFont val="Calibri"/>
        <family val="2"/>
      </rPr>
      <t>)</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</si>
  <si>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총기간</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</si>
  <si>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t>
    </r>
    <r>
      <rPr>
        <sz val="9"/>
        <color theme="1"/>
        <rFont val="맑은 고딕"/>
        <family val="3"/>
        <charset val="129"/>
      </rPr>
      <t>총</t>
    </r>
    <r>
      <rPr>
        <sz val="9"/>
        <color theme="1"/>
        <rFont val="Calibri"/>
        <family val="2"/>
      </rPr>
      <t>ManDay,_x000D_</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phoneticPr fontId="3"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</si>
  <si>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</si>
  <si>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</si>
  <si>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실제작업량</t>
    </r>
    <r>
      <rPr>
        <sz val="9"/>
        <color theme="1"/>
        <rFont val="Calibri"/>
        <family val="2"/>
      </rPr>
      <t>(Man-Day)</t>
    </r>
    <phoneticPr fontId="1" type="noConversion"/>
  </si>
  <si>
    <r>
      <rPr>
        <sz val="9"/>
        <color theme="1"/>
        <rFont val="맑은 고딕"/>
        <family val="3"/>
        <charset val="129"/>
      </rPr>
      <t>실제</t>
    </r>
    <r>
      <rPr>
        <sz val="9"/>
        <color theme="1"/>
        <rFont val="Calibri"/>
        <family val="2"/>
      </rPr>
      <t>__</t>
    </r>
    <r>
      <rPr>
        <sz val="9"/>
        <color theme="1"/>
        <rFont val="맑은 고딕"/>
        <family val="3"/>
        <charset val="129"/>
      </rPr>
      <t>완료일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</si>
  <si>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시작일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</si>
  <si>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총기간</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</si>
  <si>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총작업량</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</si>
  <si>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</si>
  <si>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시작일</t>
    </r>
    <phoneticPr fontId="1" type="noConversion"/>
  </si>
  <si>
    <r>
      <rPr>
        <sz val="9"/>
        <color theme="1"/>
        <rFont val="맑은 고딕"/>
        <family val="3"/>
        <charset val="129"/>
      </rPr>
      <t>실제_x000D_</t>
    </r>
    <r>
      <rPr>
        <sz val="9"/>
        <color theme="1"/>
        <rFont val="Calibri"/>
        <family val="2"/>
      </rPr>
      <t>\n</t>
    </r>
    <r>
      <rPr>
        <sz val="9"/>
        <color theme="1"/>
        <rFont val="맑은 고딕"/>
        <family val="3"/>
        <charset val="129"/>
      </rPr>
      <t>시작일</t>
    </r>
    <r>
      <rPr>
        <sz val="9"/>
        <color theme="1"/>
        <rFont val="Calibri"/>
        <family val="2"/>
      </rPr>
      <t>-</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</si>
  <si>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총기간</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</si>
  <si>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총작업량</t>
    </r>
  </si>
  <si>
    <r>
      <rPr>
        <sz val="9"/>
        <color theme="1"/>
        <rFont val="맑은 고딕"/>
        <family val="3"/>
        <charset val="129"/>
      </rPr>
      <t>실제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</si>
  <si>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</si>
  <si>
    <r>
      <rPr>
        <sz val="9"/>
        <color theme="1"/>
        <rFont val="맑은 고딕"/>
        <family val="3"/>
        <charset val="129"/>
      </rPr>
      <t>일정변경관리</t>
    </r>
    <r>
      <rPr>
        <sz val="9"/>
        <color theme="1"/>
        <rFont val="Calibri"/>
        <family val="2"/>
      </rPr>
      <t xml:space="preserve"> </t>
    </r>
    <r>
      <rPr>
        <sz val="9"/>
        <color theme="1"/>
        <rFont val="맑은 고딕"/>
        <family val="3"/>
        <charset val="129"/>
      </rPr>
      <t>하지</t>
    </r>
    <r>
      <rPr>
        <sz val="9"/>
        <color theme="1"/>
        <rFont val="Calibri"/>
        <family val="2"/>
      </rPr>
      <t xml:space="preserve"> </t>
    </r>
    <r>
      <rPr>
        <sz val="9"/>
        <color theme="1"/>
        <rFont val="맑은 고딕"/>
        <family val="3"/>
        <charset val="129"/>
      </rPr>
      <t>않을</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</si>
  <si>
    <r>
      <rPr>
        <sz val="9"/>
        <color theme="1"/>
        <rFont val="맑은 고딕"/>
        <family val="3"/>
        <charset val="129"/>
      </rPr>
      <t>추가</t>
    </r>
    <r>
      <rPr>
        <sz val="9"/>
        <color theme="1"/>
        <rFont val="Calibri"/>
        <family val="2"/>
      </rPr>
      <t xml:space="preserve"> &gt;&gt;</t>
    </r>
  </si>
  <si>
    <r>
      <rPr>
        <sz val="9"/>
        <color theme="1"/>
        <rFont val="맑은 고딕"/>
        <family val="3"/>
        <charset val="129"/>
      </rPr>
      <t>언어</t>
    </r>
    <r>
      <rPr>
        <sz val="9"/>
        <color theme="1"/>
        <rFont val="Calibri"/>
        <family val="2"/>
      </rPr>
      <t xml:space="preserve"> </t>
    </r>
    <r>
      <rPr>
        <sz val="9"/>
        <color theme="1"/>
        <rFont val="맑은 고딕"/>
        <family val="3"/>
        <charset val="129"/>
      </rPr>
      <t>추가</t>
    </r>
  </si>
  <si>
    <r>
      <t>MS Outlook</t>
    </r>
    <r>
      <rPr>
        <sz val="9"/>
        <color theme="1"/>
        <rFont val="맑은 고딕"/>
        <family val="3"/>
        <charset val="129"/>
      </rPr>
      <t>일정</t>
    </r>
    <r>
      <rPr>
        <sz val="9"/>
        <color theme="1"/>
        <rFont val="Calibri"/>
        <family val="2"/>
      </rPr>
      <t xml:space="preserve"> </t>
    </r>
    <r>
      <rPr>
        <sz val="9"/>
        <color theme="1"/>
        <rFont val="맑은 고딕"/>
        <family val="3"/>
        <charset val="129"/>
      </rPr>
      <t>등록</t>
    </r>
  </si>
  <si>
    <r>
      <t>MS Outlook</t>
    </r>
    <r>
      <rPr>
        <sz val="9"/>
        <color theme="1"/>
        <rFont val="맑은 고딕"/>
        <family val="3"/>
        <charset val="129"/>
      </rPr>
      <t>작업</t>
    </r>
    <r>
      <rPr>
        <sz val="9"/>
        <color theme="1"/>
        <rFont val="Calibri"/>
        <family val="2"/>
      </rPr>
      <t xml:space="preserve"> </t>
    </r>
    <r>
      <rPr>
        <sz val="9"/>
        <color theme="1"/>
        <rFont val="맑은 고딕"/>
        <family val="3"/>
        <charset val="129"/>
      </rPr>
      <t>등록</t>
    </r>
  </si>
  <si>
    <r>
      <t>Microsoft Outlook</t>
    </r>
    <r>
      <rPr>
        <sz val="9"/>
        <color theme="1"/>
        <rFont val="맑은 고딕"/>
        <family val="3"/>
        <charset val="129"/>
      </rPr>
      <t>작업</t>
    </r>
    <r>
      <rPr>
        <sz val="9"/>
        <color theme="1"/>
        <rFont val="Calibri"/>
        <family val="2"/>
      </rPr>
      <t xml:space="preserve">, </t>
    </r>
    <r>
      <rPr>
        <sz val="9"/>
        <color theme="1"/>
        <rFont val="맑은 고딕"/>
        <family val="3"/>
        <charset val="129"/>
      </rPr>
      <t>일정등록</t>
    </r>
  </si>
  <si>
    <r>
      <rPr>
        <sz val="9"/>
        <color theme="1"/>
        <rFont val="맑은 고딕"/>
        <family val="3"/>
        <charset val="129"/>
      </rPr>
      <t>엑셀간트에서는</t>
    </r>
    <r>
      <rPr>
        <sz val="9"/>
        <color theme="1"/>
        <rFont val="Calibri"/>
        <family val="2"/>
      </rPr>
      <t xml:space="preserve"> Schedule</t>
    </r>
    <r>
      <rPr>
        <sz val="9"/>
        <color theme="1"/>
        <rFont val="맑은 고딕"/>
        <family val="3"/>
        <charset val="129"/>
      </rPr>
      <t>시트에</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작업을</t>
    </r>
    <r>
      <rPr>
        <sz val="9"/>
        <color theme="1"/>
        <rFont val="Calibri"/>
        <family val="2"/>
      </rPr>
      <t xml:space="preserve"> Microsoft Outlook</t>
    </r>
    <r>
      <rPr>
        <sz val="9"/>
        <color theme="1"/>
        <rFont val="맑은 고딕"/>
        <family val="3"/>
        <charset val="129"/>
      </rPr>
      <t>에</t>
    </r>
    <r>
      <rPr>
        <sz val="9"/>
        <color theme="1"/>
        <rFont val="Calibri"/>
        <family val="2"/>
      </rPr>
      <t xml:space="preserve"> </t>
    </r>
    <r>
      <rPr>
        <sz val="9"/>
        <color theme="1"/>
        <rFont val="맑은 고딕"/>
        <family val="3"/>
        <charset val="129"/>
      </rPr>
      <t>작업이나</t>
    </r>
    <r>
      <rPr>
        <sz val="9"/>
        <color theme="1"/>
        <rFont val="Calibri"/>
        <family val="2"/>
      </rPr>
      <t xml:space="preserve"> </t>
    </r>
    <r>
      <rPr>
        <sz val="9"/>
        <color theme="1"/>
        <rFont val="맑은 고딕"/>
        <family val="3"/>
        <charset val="129"/>
      </rPr>
      <t>일정으로</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r>
      <rPr>
        <sz val="9"/>
        <color theme="1"/>
        <rFont val="맑은 고딕"/>
        <family val="3"/>
        <charset val="129"/>
      </rPr>
      <t>단</t>
    </r>
    <r>
      <rPr>
        <sz val="9"/>
        <color theme="1"/>
        <rFont val="Calibri"/>
        <family val="2"/>
      </rPr>
      <t>, PC</t>
    </r>
    <r>
      <rPr>
        <sz val="9"/>
        <color theme="1"/>
        <rFont val="맑은 고딕"/>
        <family val="3"/>
        <charset val="129"/>
      </rPr>
      <t>에</t>
    </r>
    <r>
      <rPr>
        <sz val="9"/>
        <color theme="1"/>
        <rFont val="Calibri"/>
        <family val="2"/>
      </rPr>
      <t xml:space="preserve"> Microsoft Outlook</t>
    </r>
    <r>
      <rPr>
        <sz val="9"/>
        <color theme="1"/>
        <rFont val="맑은 고딕"/>
        <family val="3"/>
        <charset val="129"/>
      </rPr>
      <t>이</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한다</t>
    </r>
    <r>
      <rPr>
        <sz val="9"/>
        <color theme="1"/>
        <rFont val="Calibri"/>
        <family val="2"/>
      </rPr>
      <t>).</t>
    </r>
  </si>
  <si>
    <r>
      <rPr>
        <sz val="9"/>
        <color theme="1"/>
        <rFont val="맑은 고딕"/>
        <family val="3"/>
        <charset val="129"/>
      </rPr>
      <t>필터를</t>
    </r>
    <r>
      <rPr>
        <sz val="9"/>
        <color theme="1"/>
        <rFont val="Calibri"/>
        <family val="2"/>
      </rPr>
      <t xml:space="preserve"> </t>
    </r>
    <r>
      <rPr>
        <sz val="9"/>
        <color theme="1"/>
        <rFont val="맑은 고딕"/>
        <family val="3"/>
        <charset val="129"/>
      </rPr>
      <t>해제하고</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진행합니다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</si>
  <si>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빠름</t>
    </r>
    <phoneticPr fontId="1" type="noConversion"/>
  </si>
  <si>
    <r>
      <rPr>
        <sz val="9"/>
        <color theme="1"/>
        <rFont val="맑은 고딕"/>
        <family val="3"/>
        <charset val="129"/>
      </rPr>
      <t>전체</t>
    </r>
    <r>
      <rPr>
        <sz val="9"/>
        <color theme="1"/>
        <rFont val="Calibri"/>
        <family val="2"/>
      </rPr>
      <t xml:space="preserve"> </t>
    </r>
    <r>
      <rPr>
        <sz val="9"/>
        <color theme="1"/>
        <rFont val="맑은 고딕"/>
        <family val="3"/>
        <charset val="129"/>
      </rPr>
      <t>조회</t>
    </r>
    <r>
      <rPr>
        <sz val="9"/>
        <color theme="1"/>
        <rFont val="Calibri"/>
        <family val="2"/>
      </rPr>
      <t>(</t>
    </r>
    <r>
      <rPr>
        <sz val="9"/>
        <color theme="1"/>
        <rFont val="맑은 고딕"/>
        <family val="3"/>
        <charset val="129"/>
      </rPr>
      <t>필터</t>
    </r>
    <r>
      <rPr>
        <sz val="9"/>
        <color theme="1"/>
        <rFont val="Calibri"/>
        <family val="2"/>
      </rPr>
      <t xml:space="preserve"> </t>
    </r>
    <r>
      <rPr>
        <sz val="9"/>
        <color theme="1"/>
        <rFont val="맑은 고딕"/>
        <family val="3"/>
        <charset val="129"/>
      </rPr>
      <t>해제</t>
    </r>
    <r>
      <rPr>
        <sz val="9"/>
        <color theme="1"/>
        <rFont val="Calibri"/>
        <family val="2"/>
      </rPr>
      <t>)</t>
    </r>
  </si>
  <si>
    <r>
      <rPr>
        <sz val="9"/>
        <color theme="1"/>
        <rFont val="맑은 고딕"/>
        <family val="3"/>
        <charset val="129"/>
      </rPr>
      <t>최신버전</t>
    </r>
    <r>
      <rPr>
        <sz val="9"/>
        <color theme="1"/>
        <rFont val="Calibri"/>
        <family val="2"/>
      </rPr>
      <t xml:space="preserve"> </t>
    </r>
    <r>
      <rPr>
        <sz val="9"/>
        <color theme="1"/>
        <rFont val="맑은 고딕"/>
        <family val="3"/>
        <charset val="129"/>
      </rPr>
      <t>확인</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잠시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시도하세요</t>
    </r>
    <r>
      <rPr>
        <sz val="9"/>
        <color theme="1"/>
        <rFont val="Calibri"/>
        <family val="2"/>
      </rPr>
      <t>.\n</t>
    </r>
    <r>
      <rPr>
        <sz val="9"/>
        <color theme="1"/>
        <rFont val="맑은 고딕"/>
        <family val="3"/>
        <charset val="129"/>
      </rPr>
      <t>에러메시지</t>
    </r>
    <r>
      <rPr>
        <sz val="9"/>
        <color theme="1"/>
        <rFont val="Calibri"/>
        <family val="2"/>
      </rPr>
      <t xml:space="preserve"> : {}</t>
    </r>
  </si>
  <si>
    <r>
      <rPr>
        <sz val="9"/>
        <color theme="1"/>
        <rFont val="맑은 고딕"/>
        <family val="3"/>
        <charset val="129"/>
      </rPr>
      <t>서식</t>
    </r>
    <r>
      <rPr>
        <sz val="9"/>
        <color theme="1"/>
        <rFont val="Calibri"/>
        <family val="2"/>
      </rPr>
      <t xml:space="preserve">check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발생하였습니다</t>
    </r>
    <r>
      <rPr>
        <sz val="9"/>
        <color theme="1"/>
        <rFont val="Calibri"/>
        <family val="2"/>
      </rPr>
      <t>. XLGantt</t>
    </r>
    <r>
      <rPr>
        <sz val="9"/>
        <color theme="1"/>
        <rFont val="맑은 고딕"/>
        <family val="3"/>
        <charset val="129"/>
      </rPr>
      <t>를</t>
    </r>
    <r>
      <rPr>
        <sz val="9"/>
        <color theme="1"/>
        <rFont val="Calibri"/>
        <family val="2"/>
      </rPr>
      <t xml:space="preserve"> </t>
    </r>
    <r>
      <rPr>
        <sz val="9"/>
        <color theme="1"/>
        <rFont val="맑은 고딕"/>
        <family val="3"/>
        <charset val="129"/>
      </rPr>
      <t>종료하고</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시작하십시오</t>
    </r>
    <r>
      <rPr>
        <sz val="9"/>
        <color theme="1"/>
        <rFont val="Calibri"/>
        <family val="2"/>
      </rPr>
      <t>.</t>
    </r>
  </si>
  <si>
    <r>
      <rPr>
        <sz val="9"/>
        <color theme="1"/>
        <rFont val="맑은 고딕"/>
        <family val="3"/>
        <charset val="129"/>
      </rPr>
      <t>처리</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</si>
  <si>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분석</t>
    </r>
  </si>
  <si>
    <r>
      <rPr>
        <sz val="9"/>
        <color theme="1"/>
        <rFont val="맑은 고딕"/>
        <family val="3"/>
        <charset val="129"/>
      </rPr>
      <t>분석</t>
    </r>
    <r>
      <rPr>
        <sz val="9"/>
        <color theme="1"/>
        <rFont val="Calibri"/>
        <family val="2"/>
      </rPr>
      <t xml:space="preserve"> </t>
    </r>
    <r>
      <rPr>
        <sz val="9"/>
        <color theme="1"/>
        <rFont val="맑은 고딕"/>
        <family val="3"/>
        <charset val="129"/>
      </rPr>
      <t>리포트</t>
    </r>
  </si>
  <si>
    <r>
      <rPr>
        <sz val="9"/>
        <color theme="1"/>
        <rFont val="맑은 고딕"/>
        <family val="3"/>
        <charset val="129"/>
      </rPr>
      <t>모양</t>
    </r>
    <phoneticPr fontId="1" type="noConversion"/>
  </si>
  <si>
    <r>
      <rPr>
        <sz val="9"/>
        <color theme="1"/>
        <rFont val="맑은 고딕"/>
        <family val="3"/>
        <charset val="129"/>
      </rPr>
      <t>자동</t>
    </r>
    <phoneticPr fontId="1" type="noConversion"/>
  </si>
  <si>
    <r>
      <rPr>
        <sz val="9"/>
        <color theme="1"/>
        <rFont val="맑은 고딕"/>
        <family val="3"/>
        <charset val="129"/>
      </rPr>
      <t>데이터</t>
    </r>
    <r>
      <rPr>
        <sz val="9"/>
        <color theme="1"/>
        <rFont val="Calibri"/>
        <family val="2"/>
      </rPr>
      <t xml:space="preserve"> </t>
    </r>
    <r>
      <rPr>
        <sz val="9"/>
        <color theme="1"/>
        <rFont val="맑은 고딕"/>
        <family val="3"/>
        <charset val="129"/>
      </rPr>
      <t>표만</t>
    </r>
    <r>
      <rPr>
        <sz val="9"/>
        <color theme="1"/>
        <rFont val="Calibri"/>
        <family val="2"/>
      </rPr>
      <t xml:space="preserve"> </t>
    </r>
    <r>
      <rPr>
        <sz val="9"/>
        <color theme="1"/>
        <rFont val="맑은 고딕"/>
        <family val="3"/>
        <charset val="129"/>
      </rPr>
      <t>수동</t>
    </r>
    <phoneticPr fontId="1" type="noConversion"/>
  </si>
  <si>
    <r>
      <rPr>
        <sz val="9"/>
        <color theme="1"/>
        <rFont val="맑은 고딕"/>
        <family val="3"/>
        <charset val="129"/>
      </rPr>
      <t>자동지정</t>
    </r>
  </si>
  <si>
    <r>
      <rPr>
        <sz val="9"/>
        <color theme="1"/>
        <rFont val="맑은 고딕"/>
        <family val="3"/>
        <charset val="129"/>
      </rPr>
      <t>추가</t>
    </r>
    <r>
      <rPr>
        <sz val="9"/>
        <color theme="1"/>
        <rFont val="Calibri"/>
        <family val="2"/>
      </rPr>
      <t xml:space="preserve"> </t>
    </r>
    <r>
      <rPr>
        <sz val="9"/>
        <color theme="1"/>
        <rFont val="맑은 고딕"/>
        <family val="3"/>
        <charset val="129"/>
      </rPr>
      <t>가능한</t>
    </r>
    <r>
      <rPr>
        <sz val="9"/>
        <color theme="1"/>
        <rFont val="Calibri"/>
        <family val="2"/>
      </rPr>
      <t xml:space="preserve"> </t>
    </r>
    <r>
      <rPr>
        <sz val="9"/>
        <color theme="1"/>
        <rFont val="맑은 고딕"/>
        <family val="3"/>
        <charset val="129"/>
      </rPr>
      <t>언어</t>
    </r>
  </si>
  <si>
    <r>
      <t>Bar chart</t>
    </r>
    <r>
      <rPr>
        <sz val="9"/>
        <color theme="1"/>
        <rFont val="맑은 고딕"/>
        <family val="3"/>
        <charset val="129"/>
      </rPr>
      <t>의</t>
    </r>
    <r>
      <rPr>
        <sz val="9"/>
        <color theme="1"/>
        <rFont val="Calibri"/>
        <family val="2"/>
      </rPr>
      <t xml:space="preserve"> </t>
    </r>
    <r>
      <rPr>
        <sz val="9"/>
        <color theme="1"/>
        <rFont val="맑은 고딕"/>
        <family val="3"/>
        <charset val="129"/>
      </rPr>
      <t>텍스트</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위치</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</si>
  <si>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기한</t>
    </r>
    <r>
      <rPr>
        <sz val="9"/>
        <color theme="1"/>
        <rFont val="Calibri"/>
        <family val="2"/>
      </rPr>
      <t xml:space="preserve"> : {2}</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</si>
  <si>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시작일</t>
    </r>
    <r>
      <rPr>
        <sz val="9"/>
        <color theme="1"/>
        <rFont val="Calibri"/>
        <family val="2"/>
      </rPr>
      <t xml:space="preserve"> : {2}</t>
    </r>
  </si>
  <si>
    <r>
      <rPr>
        <sz val="9"/>
        <color theme="1"/>
        <rFont val="맑은 고딕"/>
        <family val="3"/>
        <charset val="129"/>
      </rPr>
      <t>일정</t>
    </r>
    <r>
      <rPr>
        <sz val="9"/>
        <color theme="1"/>
        <rFont val="Calibri"/>
        <family val="2"/>
      </rPr>
      <t xml:space="preserve"> </t>
    </r>
    <r>
      <rPr>
        <sz val="9"/>
        <color theme="1"/>
        <rFont val="맑은 고딕"/>
        <family val="3"/>
        <charset val="129"/>
      </rPr>
      <t>지연</t>
    </r>
    <phoneticPr fontId="1" type="noConversion"/>
  </si>
  <si>
    <r>
      <rPr>
        <sz val="9"/>
        <color theme="1"/>
        <rFont val="맑은 고딕"/>
        <family val="3"/>
        <charset val="129"/>
      </rPr>
      <t>흑백</t>
    </r>
    <phoneticPr fontId="1" type="noConversion"/>
  </si>
  <si>
    <r>
      <rPr>
        <sz val="9"/>
        <color theme="1"/>
        <rFont val="맑은 고딕"/>
        <family val="3"/>
        <charset val="129"/>
      </rPr>
      <t>완료율</t>
    </r>
  </si>
  <si>
    <r>
      <rPr>
        <sz val="9"/>
        <color theme="1"/>
        <rFont val="맑은 고딕"/>
        <family val="3"/>
        <charset val="129"/>
      </rPr>
      <t>기간</t>
    </r>
  </si>
  <si>
    <r>
      <rPr>
        <sz val="9"/>
        <color theme="1"/>
        <rFont val="맑은 고딕"/>
        <family val="3"/>
        <charset val="129"/>
      </rPr>
      <t>담당</t>
    </r>
    <phoneticPr fontId="1" type="noConversion"/>
  </si>
  <si>
    <r>
      <rPr>
        <sz val="9"/>
        <color theme="1"/>
        <rFont val="맑은 고딕"/>
        <family val="3"/>
        <charset val="129"/>
      </rPr>
      <t>자원배정비율로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</si>
  <si>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가중치로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</si>
  <si>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</si>
  <si>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시작일보다</t>
    </r>
    <r>
      <rPr>
        <sz val="9"/>
        <color theme="1"/>
        <rFont val="Calibri"/>
        <family val="2"/>
      </rPr>
      <t xml:space="preserve"> </t>
    </r>
    <r>
      <rPr>
        <sz val="9"/>
        <color theme="1"/>
        <rFont val="맑은 고딕"/>
        <family val="3"/>
        <charset val="129"/>
      </rPr>
      <t>크거나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</si>
  <si>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작거나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</si>
  <si>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계산</t>
    </r>
    <r>
      <rPr>
        <sz val="9"/>
        <color theme="1"/>
        <rFont val="Calibri"/>
        <family val="2"/>
      </rPr>
      <t xml:space="preserve"> </t>
    </r>
    <r>
      <rPr>
        <sz val="9"/>
        <color theme="1"/>
        <rFont val="맑은 고딕"/>
        <family val="3"/>
        <charset val="129"/>
      </rPr>
      <t>옵션</t>
    </r>
    <phoneticPr fontId="1" type="noConversion"/>
  </si>
  <si>
    <r>
      <rPr>
        <sz val="9"/>
        <color theme="1"/>
        <rFont val="맑은 고딕"/>
        <family val="3"/>
        <charset val="129"/>
      </rPr>
      <t>취소</t>
    </r>
  </si>
  <si>
    <r>
      <rPr>
        <sz val="9"/>
        <color theme="1"/>
        <rFont val="맑은 고딕"/>
        <family val="3"/>
        <charset val="129"/>
      </rPr>
      <t>차트</t>
    </r>
  </si>
  <si>
    <r>
      <rPr>
        <sz val="9"/>
        <color theme="1"/>
        <rFont val="맑은 고딕"/>
        <family val="3"/>
        <charset val="129"/>
      </rPr>
      <t>최신버전</t>
    </r>
    <r>
      <rPr>
        <sz val="9"/>
        <color theme="1"/>
        <rFont val="Calibri"/>
        <family val="2"/>
      </rPr>
      <t>\n</t>
    </r>
    <r>
      <rPr>
        <sz val="9"/>
        <color theme="1"/>
        <rFont val="맑은 고딕"/>
        <family val="3"/>
        <charset val="129"/>
      </rPr>
      <t>확인</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</si>
  <si>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확인</t>
    </r>
  </si>
  <si>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</si>
  <si>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종류</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</si>
  <si>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</si>
  <si>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</si>
  <si>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</si>
  <si>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rPr>
        <sz val="9"/>
        <color theme="1"/>
        <rFont val="맑은 고딕"/>
        <family val="3"/>
        <charset val="129"/>
      </rPr>
      <t>가져오기</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</si>
  <si>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컴퓨터</t>
    </r>
    <r>
      <rPr>
        <sz val="9"/>
        <color theme="1"/>
        <rFont val="Calibri"/>
        <family val="2"/>
      </rPr>
      <t xml:space="preserve"> O/S</t>
    </r>
    <r>
      <rPr>
        <sz val="9"/>
        <color theme="1"/>
        <rFont val="맑은 고딕"/>
        <family val="3"/>
        <charset val="129"/>
      </rPr>
      <t>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t>
    </r>
  </si>
  <si>
    <r>
      <rPr>
        <sz val="9"/>
        <color theme="1"/>
        <rFont val="맑은 고딕"/>
        <family val="3"/>
        <charset val="129"/>
      </rPr>
      <t>산출물</t>
    </r>
    <r>
      <rPr>
        <sz val="9"/>
        <color theme="1"/>
        <rFont val="Calibri"/>
        <family val="2"/>
      </rPr>
      <t xml:space="preserve"> </t>
    </r>
    <r>
      <rPr>
        <sz val="9"/>
        <color theme="1"/>
        <rFont val="맑은 고딕"/>
        <family val="3"/>
        <charset val="129"/>
      </rPr>
      <t>종류를</t>
    </r>
    <r>
      <rPr>
        <sz val="9"/>
        <color theme="1"/>
        <rFont val="Calibri"/>
        <family val="2"/>
      </rPr>
      <t xml:space="preserve"> </t>
    </r>
    <r>
      <rPr>
        <sz val="9"/>
        <color theme="1"/>
        <rFont val="맑은 고딕"/>
        <family val="3"/>
        <charset val="129"/>
      </rPr>
      <t>선택하세요</t>
    </r>
  </si>
  <si>
    <r>
      <rPr>
        <sz val="9"/>
        <color theme="1"/>
        <rFont val="맑은 고딕"/>
        <family val="3"/>
        <charset val="129"/>
      </rPr>
      <t>서버데이터</t>
    </r>
    <r>
      <rPr>
        <sz val="9"/>
        <color theme="1"/>
        <rFont val="Calibri"/>
        <family val="2"/>
      </rPr>
      <t xml:space="preserve"> </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수행할</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</si>
  <si>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닫기</t>
    </r>
  </si>
  <si>
    <r>
      <rPr>
        <sz val="9"/>
        <color theme="1"/>
        <rFont val="맑은 고딕"/>
        <family val="3"/>
        <charset val="129"/>
      </rPr>
      <t>컬러</t>
    </r>
    <r>
      <rPr>
        <sz val="9"/>
        <color theme="1"/>
        <rFont val="Calibri"/>
        <family val="2"/>
      </rPr>
      <t xml:space="preserve"> </t>
    </r>
    <r>
      <rPr>
        <sz val="9"/>
        <color theme="1"/>
        <rFont val="맑은 고딕"/>
        <family val="3"/>
        <charset val="129"/>
      </rPr>
      <t>테마</t>
    </r>
    <phoneticPr fontId="1" type="noConversion"/>
  </si>
  <si>
    <r>
      <rPr>
        <sz val="9"/>
        <color theme="1"/>
        <rFont val="맑은 고딕"/>
        <family val="3"/>
        <charset val="129"/>
      </rPr>
      <t>완료</t>
    </r>
  </si>
  <si>
    <r>
      <rPr>
        <sz val="9"/>
        <color theme="1"/>
        <rFont val="맑은 고딕"/>
        <family val="3"/>
        <charset val="129"/>
      </rPr>
      <t>포함</t>
    </r>
  </si>
  <si>
    <r>
      <t>Workload Data</t>
    </r>
    <r>
      <rPr>
        <sz val="9"/>
        <color theme="1"/>
        <rFont val="맑은 고딕"/>
        <family val="3"/>
        <charset val="129"/>
      </rPr>
      <t>생성</t>
    </r>
    <r>
      <rPr>
        <sz val="9"/>
        <color theme="1"/>
        <rFont val="Calibri"/>
        <family val="2"/>
      </rPr>
      <t>(</t>
    </r>
    <r>
      <rPr>
        <sz val="9"/>
        <color theme="1"/>
        <rFont val="맑은 고딕"/>
        <family val="3"/>
        <charset val="129"/>
      </rPr>
      <t>월별</t>
    </r>
    <r>
      <rPr>
        <sz val="9"/>
        <color theme="1"/>
        <rFont val="Calibri"/>
        <family val="2"/>
      </rPr>
      <t>)</t>
    </r>
  </si>
  <si>
    <r>
      <t>Workload Data</t>
    </r>
    <r>
      <rPr>
        <sz val="9"/>
        <color theme="1"/>
        <rFont val="맑은 고딕"/>
        <family val="3"/>
        <charset val="129"/>
      </rPr>
      <t>생성</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</si>
  <si>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현재</t>
    </r>
    <r>
      <rPr>
        <sz val="9"/>
        <color theme="1"/>
        <rFont val="Calibri"/>
        <family val="2"/>
      </rPr>
      <t xml:space="preserve"> </t>
    </r>
    <r>
      <rPr>
        <sz val="9"/>
        <color theme="1"/>
        <rFont val="맑은 고딕"/>
        <family val="3"/>
        <charset val="129"/>
      </rPr>
      <t>사용중인</t>
    </r>
    <r>
      <rPr>
        <sz val="9"/>
        <color theme="1"/>
        <rFont val="Calibri"/>
        <family val="2"/>
      </rPr>
      <t xml:space="preserve"> </t>
    </r>
    <r>
      <rPr>
        <sz val="9"/>
        <color theme="1"/>
        <rFont val="맑은 고딕"/>
        <family val="3"/>
        <charset val="129"/>
      </rPr>
      <t>버전</t>
    </r>
  </si>
  <si>
    <r>
      <rPr>
        <sz val="9"/>
        <color theme="1"/>
        <rFont val="맑은 고딕"/>
        <family val="3"/>
        <charset val="129"/>
      </rPr>
      <t>사용자</t>
    </r>
    <r>
      <rPr>
        <sz val="9"/>
        <color theme="1"/>
        <rFont val="Calibri"/>
        <family val="2"/>
      </rPr>
      <t xml:space="preserve"> </t>
    </r>
    <r>
      <rPr>
        <sz val="9"/>
        <color theme="1"/>
        <rFont val="맑은 고딕"/>
        <family val="3"/>
        <charset val="129"/>
      </rPr>
      <t>정의</t>
    </r>
    <phoneticPr fontId="1" type="noConversion"/>
  </si>
  <si>
    <r>
      <rPr>
        <sz val="9"/>
        <color theme="1"/>
        <rFont val="맑은 고딕"/>
        <family val="3"/>
        <charset val="129"/>
      </rPr>
      <t>일별</t>
    </r>
  </si>
  <si>
    <r>
      <rPr>
        <sz val="9"/>
        <color theme="1"/>
        <rFont val="맑은 고딕"/>
        <family val="3"/>
        <charset val="129"/>
      </rPr>
      <t>일별보기</t>
    </r>
  </si>
  <si>
    <r>
      <rPr>
        <sz val="9"/>
        <color theme="1"/>
        <rFont val="맑은 고딕"/>
        <family val="3"/>
        <charset val="129"/>
      </rPr>
      <t>일</t>
    </r>
    <r>
      <rPr>
        <sz val="9"/>
        <color theme="1"/>
        <rFont val="Calibri"/>
        <family val="2"/>
      </rPr>
      <t xml:space="preserve"> (</t>
    </r>
    <r>
      <rPr>
        <sz val="9"/>
        <color theme="1"/>
        <rFont val="맑은 고딕"/>
        <family val="3"/>
        <charset val="129"/>
      </rPr>
      <t>월평균</t>
    </r>
    <r>
      <rPr>
        <sz val="9"/>
        <color theme="1"/>
        <rFont val="Calibri"/>
        <family val="2"/>
      </rPr>
      <t xml:space="preserve"> </t>
    </r>
    <r>
      <rPr>
        <sz val="9"/>
        <color theme="1"/>
        <rFont val="맑은 고딕"/>
        <family val="3"/>
        <charset val="129"/>
      </rPr>
      <t>근무일수</t>
    </r>
    <r>
      <rPr>
        <sz val="9"/>
        <color theme="1"/>
        <rFont val="Calibri"/>
        <family val="2"/>
      </rPr>
      <t>)</t>
    </r>
  </si>
  <si>
    <r>
      <rPr>
        <sz val="9"/>
        <color theme="1"/>
        <rFont val="맑은 고딕"/>
        <family val="3"/>
        <charset val="129"/>
      </rPr>
      <t>휴무일로</t>
    </r>
    <r>
      <rPr>
        <sz val="9"/>
        <color theme="1"/>
        <rFont val="Calibri"/>
        <family val="2"/>
      </rPr>
      <t xml:space="preserve"> </t>
    </r>
    <r>
      <rPr>
        <sz val="9"/>
        <color theme="1"/>
        <rFont val="맑은 고딕"/>
        <family val="3"/>
        <charset val="129"/>
      </rPr>
      <t>계산되는</t>
    </r>
    <r>
      <rPr>
        <sz val="9"/>
        <color theme="1"/>
        <rFont val="Calibri"/>
        <family val="2"/>
      </rPr>
      <t xml:space="preserve"> </t>
    </r>
    <r>
      <rPr>
        <sz val="9"/>
        <color theme="1"/>
        <rFont val="맑은 고딕"/>
        <family val="3"/>
        <charset val="129"/>
      </rPr>
      <t>날</t>
    </r>
  </si>
  <si>
    <r>
      <rPr>
        <sz val="9"/>
        <color theme="1"/>
        <rFont val="맑은 고딕"/>
        <family val="3"/>
        <charset val="129"/>
      </rPr>
      <t>기본</t>
    </r>
    <phoneticPr fontId="1" type="noConversion"/>
  </si>
  <si>
    <r>
      <rPr>
        <sz val="9"/>
        <color theme="1"/>
        <rFont val="맑은 고딕"/>
        <family val="3"/>
        <charset val="129"/>
      </rPr>
      <t>산출물</t>
    </r>
  </si>
  <si>
    <r>
      <rPr>
        <sz val="9"/>
        <color theme="1"/>
        <rFont val="맑은 고딕"/>
        <family val="3"/>
        <charset val="129"/>
      </rPr>
      <t>산출물</t>
    </r>
    <r>
      <rPr>
        <sz val="9"/>
        <color theme="1"/>
        <rFont val="Calibri"/>
        <family val="2"/>
      </rPr>
      <t xml:space="preserve"> </t>
    </r>
    <r>
      <rPr>
        <sz val="9"/>
        <color theme="1"/>
        <rFont val="맑은 고딕"/>
        <family val="3"/>
        <charset val="129"/>
      </rPr>
      <t>필드입니다</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</si>
  <si>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</si>
  <si>
    <r>
      <rPr>
        <sz val="9"/>
        <color theme="1"/>
        <rFont val="맑은 고딕"/>
        <family val="3"/>
        <charset val="129"/>
      </rPr>
      <t>실적진척율</t>
    </r>
    <r>
      <rPr>
        <sz val="9"/>
        <color theme="1"/>
        <rFont val="Calibri"/>
        <family val="2"/>
      </rPr>
      <t xml:space="preserve"> </t>
    </r>
    <r>
      <rPr>
        <sz val="9"/>
        <color theme="1"/>
        <rFont val="맑은 고딕"/>
        <family val="3"/>
        <charset val="129"/>
      </rPr>
      <t>표시</t>
    </r>
  </si>
  <si>
    <r>
      <rPr>
        <sz val="9"/>
        <color theme="1"/>
        <rFont val="맑은 고딕"/>
        <family val="3"/>
        <charset val="129"/>
      </rPr>
      <t>날짜</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</si>
  <si>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</si>
  <si>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완료된</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폰트색상</t>
    </r>
    <r>
      <rPr>
        <sz val="9"/>
        <color theme="1"/>
        <rFont val="Calibri"/>
        <family val="2"/>
      </rPr>
      <t xml:space="preserve"> </t>
    </r>
    <r>
      <rPr>
        <sz val="9"/>
        <color theme="1"/>
        <rFont val="맑은 고딕"/>
        <family val="3"/>
        <charset val="129"/>
      </rPr>
      <t>회색표시</t>
    </r>
  </si>
  <si>
    <r>
      <rPr>
        <sz val="9"/>
        <color theme="1"/>
        <rFont val="맑은 고딕"/>
        <family val="3"/>
        <charset val="129"/>
      </rPr>
      <t>작업그룹의</t>
    </r>
    <r>
      <rPr>
        <sz val="9"/>
        <color theme="1"/>
        <rFont val="Calibri"/>
        <family val="2"/>
      </rPr>
      <t xml:space="preserve"> </t>
    </r>
    <r>
      <rPr>
        <sz val="9"/>
        <color theme="1"/>
        <rFont val="맑은 고딕"/>
        <family val="3"/>
        <charset val="129"/>
      </rPr>
      <t>배경색</t>
    </r>
    <r>
      <rPr>
        <sz val="9"/>
        <color theme="1"/>
        <rFont val="Calibri"/>
        <family val="2"/>
      </rPr>
      <t xml:space="preserve"> </t>
    </r>
    <r>
      <rPr>
        <sz val="9"/>
        <color theme="1"/>
        <rFont val="맑은 고딕"/>
        <family val="3"/>
        <charset val="129"/>
      </rPr>
      <t>회색표시</t>
    </r>
  </si>
  <si>
    <r>
      <rPr>
        <sz val="9"/>
        <color theme="1"/>
        <rFont val="맑은 고딕"/>
        <family val="3"/>
        <charset val="129"/>
      </rPr>
      <t>계획진척율</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</si>
  <si>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주차</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</si>
  <si>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담당</t>
    </r>
    <r>
      <rPr>
        <sz val="9"/>
        <color theme="1"/>
        <rFont val="Calibri"/>
        <family val="2"/>
      </rPr>
      <t xml:space="preserve"> </t>
    </r>
    <r>
      <rPr>
        <sz val="9"/>
        <color theme="1"/>
        <rFont val="맑은 고딕"/>
        <family val="3"/>
        <charset val="129"/>
      </rPr>
      <t>표시</t>
    </r>
  </si>
  <si>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</si>
  <si>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</si>
  <si>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프로젝트</t>
    </r>
    <r>
      <rPr>
        <sz val="9"/>
        <color theme="1"/>
        <rFont val="Calibri"/>
        <family val="2"/>
      </rPr>
      <t xml:space="preserve"> </t>
    </r>
    <r>
      <rPr>
        <sz val="9"/>
        <color theme="1"/>
        <rFont val="맑은 고딕"/>
        <family val="3"/>
        <charset val="129"/>
      </rPr>
      <t>전체의</t>
    </r>
    <r>
      <rPr>
        <sz val="9"/>
        <color theme="1"/>
        <rFont val="Calibri"/>
        <family val="2"/>
      </rPr>
      <t xml:space="preserve"> </t>
    </r>
    <r>
      <rPr>
        <sz val="9"/>
        <color theme="1"/>
        <rFont val="맑은 고딕"/>
        <family val="3"/>
        <charset val="129"/>
      </rPr>
      <t>작업량을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표시한다</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적용한</t>
    </r>
    <r>
      <rPr>
        <sz val="9"/>
        <color theme="1"/>
        <rFont val="Calibri"/>
        <family val="2"/>
      </rPr>
      <t xml:space="preserve"> </t>
    </r>
    <r>
      <rPr>
        <sz val="9"/>
        <color theme="1"/>
        <rFont val="맑은 고딕"/>
        <family val="3"/>
        <charset val="129"/>
      </rPr>
      <t>값이다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</si>
  <si>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년도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</si>
  <si>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실적</t>
    </r>
    <r>
      <rPr>
        <sz val="9"/>
        <color theme="1"/>
        <rFont val="Calibri"/>
        <family val="2"/>
      </rPr>
      <t xml:space="preserve"> </t>
    </r>
    <r>
      <rPr>
        <sz val="9"/>
        <color theme="1"/>
        <rFont val="맑은 고딕"/>
        <family val="3"/>
        <charset val="129"/>
      </rPr>
      <t>열에</t>
    </r>
    <r>
      <rPr>
        <sz val="9"/>
        <color theme="1"/>
        <rFont val="Calibri"/>
        <family val="2"/>
      </rPr>
      <t xml:space="preserve"> </t>
    </r>
    <r>
      <rPr>
        <sz val="9"/>
        <color theme="1"/>
        <rFont val="맑은 고딕"/>
        <family val="3"/>
        <charset val="129"/>
      </rPr>
      <t>표시됨</t>
    </r>
    <phoneticPr fontId="1" type="noConversion"/>
  </si>
  <si>
    <r>
      <t>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</si>
  <si>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</si>
  <si>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다운로드</t>
    </r>
  </si>
  <si>
    <r>
      <t xml:space="preserve">Gantt chart </t>
    </r>
    <r>
      <rPr>
        <sz val="9"/>
        <color theme="1"/>
        <rFont val="맑은 고딕"/>
        <family val="3"/>
        <charset val="129"/>
      </rPr>
      <t>그리기</t>
    </r>
    <r>
      <rPr>
        <sz val="9"/>
        <color theme="1"/>
        <rFont val="Calibri"/>
        <family val="2"/>
      </rPr>
      <t xml:space="preserve"> </t>
    </r>
    <r>
      <rPr>
        <sz val="9"/>
        <color theme="1"/>
        <rFont val="맑은 고딕"/>
        <family val="3"/>
        <charset val="129"/>
      </rPr>
      <t>작업</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</si>
  <si>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</si>
  <si>
    <r>
      <rPr>
        <sz val="9"/>
        <color theme="1"/>
        <rFont val="맑은 고딕"/>
        <family val="3"/>
        <charset val="129"/>
      </rPr>
      <t>기간</t>
    </r>
    <r>
      <rPr>
        <sz val="9"/>
        <color theme="1"/>
        <rFont val="Calibri"/>
        <family val="2"/>
      </rPr>
      <t xml:space="preserve"> </t>
    </r>
    <r>
      <rPr>
        <sz val="9"/>
        <color theme="1"/>
        <rFont val="맑은 고딕"/>
        <family val="3"/>
        <charset val="129"/>
      </rPr>
      <t>지정</t>
    </r>
  </si>
  <si>
    <r>
      <rPr>
        <sz val="9"/>
        <color theme="1"/>
        <rFont val="맑은 고딕"/>
        <family val="3"/>
        <charset val="129"/>
      </rPr>
      <t>실적기성</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</si>
  <si>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실적기성</t>
    </r>
    <phoneticPr fontId="1"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</si>
  <si>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할때</t>
    </r>
    <r>
      <rPr>
        <sz val="9"/>
        <color theme="1"/>
        <rFont val="Calibri"/>
        <family val="2"/>
      </rPr>
      <t xml:space="preserve"> </t>
    </r>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</si>
  <si>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</si>
  <si>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</si>
  <si>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실적기성</t>
    </r>
    <r>
      <rPr>
        <sz val="9"/>
        <color theme="1"/>
        <rFont val="Calibri"/>
        <family val="2"/>
      </rPr>
      <t>( C )\nMan-day</t>
    </r>
    <phoneticPr fontId="1" type="noConversion"/>
  </si>
  <si>
    <r>
      <rPr>
        <sz val="9"/>
        <color theme="1"/>
        <rFont val="맑은 고딕"/>
        <family val="3"/>
        <charset val="129"/>
      </rPr>
      <t>실적기성</t>
    </r>
    <r>
      <rPr>
        <sz val="9"/>
        <color theme="1"/>
        <rFont val="Calibri"/>
        <family val="2"/>
      </rPr>
      <t>(Man-Day)</t>
    </r>
    <phoneticPr fontId="1" type="noConversion"/>
  </si>
  <si>
    <r>
      <rPr>
        <sz val="9"/>
        <color theme="1"/>
        <rFont val="맑은 고딕"/>
        <family val="3"/>
        <charset val="129"/>
      </rPr>
      <t>작업</t>
    </r>
    <r>
      <rPr>
        <sz val="9"/>
        <color theme="1"/>
        <rFont val="Calibri"/>
        <family val="2"/>
      </rPr>
      <t xml:space="preserve"> </t>
    </r>
    <r>
      <rPr>
        <sz val="9"/>
        <color theme="1"/>
        <rFont val="맑은 고딕"/>
        <family val="3"/>
        <charset val="129"/>
      </rPr>
      <t>정보</t>
    </r>
  </si>
  <si>
    <r>
      <rPr>
        <sz val="9"/>
        <color theme="1"/>
        <rFont val="맑은 고딕"/>
        <family val="3"/>
        <charset val="129"/>
      </rPr>
      <t>홍길동</t>
    </r>
    <r>
      <rPr>
        <sz val="9"/>
        <color theme="1"/>
        <rFont val="Calibri"/>
        <family val="2"/>
      </rPr>
      <t>,</t>
    </r>
    <r>
      <rPr>
        <sz val="9"/>
        <color theme="1"/>
        <rFont val="맑은 고딕"/>
        <family val="3"/>
        <charset val="129"/>
      </rPr>
      <t>김길동</t>
    </r>
    <r>
      <rPr>
        <sz val="9"/>
        <color theme="1"/>
        <rFont val="Calibri"/>
        <family val="2"/>
      </rPr>
      <t>[50%]</t>
    </r>
    <phoneticPr fontId="1" type="noConversion"/>
  </si>
  <si>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언어</t>
    </r>
  </si>
  <si>
    <r>
      <rPr>
        <sz val="9"/>
        <color theme="1"/>
        <rFont val="맑은 고딕"/>
        <family val="3"/>
        <charset val="129"/>
      </rPr>
      <t>같음</t>
    </r>
  </si>
  <si>
    <r>
      <rPr>
        <sz val="9"/>
        <color theme="1"/>
        <rFont val="맑은 고딕"/>
        <family val="3"/>
        <charset val="129"/>
      </rPr>
      <t>오류</t>
    </r>
    <r>
      <rPr>
        <sz val="9"/>
        <color theme="1"/>
        <rFont val="Calibri"/>
        <family val="2"/>
      </rPr>
      <t xml:space="preserve">! </t>
    </r>
    <r>
      <rPr>
        <sz val="9"/>
        <color theme="1"/>
        <rFont val="맑은 고딕"/>
        <family val="3"/>
        <charset val="129"/>
      </rPr>
      <t>계산된</t>
    </r>
    <r>
      <rPr>
        <sz val="9"/>
        <color theme="1"/>
        <rFont val="Calibri"/>
        <family val="2"/>
      </rPr>
      <t xml:space="preserve"> Total Man-Day</t>
    </r>
    <r>
      <rPr>
        <sz val="9"/>
        <color theme="1"/>
        <rFont val="맑은 고딕"/>
        <family val="3"/>
        <charset val="129"/>
      </rPr>
      <t>가</t>
    </r>
    <r>
      <rPr>
        <sz val="9"/>
        <color theme="1"/>
        <rFont val="Calibri"/>
        <family val="2"/>
      </rPr>
      <t xml:space="preserve"> {} sheet</t>
    </r>
    <r>
      <rPr>
        <sz val="9"/>
        <color theme="1"/>
        <rFont val="맑은 고딕"/>
        <family val="3"/>
        <charset val="129"/>
      </rPr>
      <t>의</t>
    </r>
    <r>
      <rPr>
        <sz val="9"/>
        <color theme="1"/>
        <rFont val="Calibri"/>
        <family val="2"/>
      </rPr>
      <t xml:space="preserve"> Total Man-Day</t>
    </r>
    <r>
      <rPr>
        <sz val="9"/>
        <color theme="1"/>
        <rFont val="맑은 고딕"/>
        <family val="3"/>
        <charset val="129"/>
      </rPr>
      <t>와</t>
    </r>
    <r>
      <rPr>
        <sz val="9"/>
        <color theme="1"/>
        <rFont val="Calibri"/>
        <family val="2"/>
      </rPr>
      <t xml:space="preserve"> </t>
    </r>
    <r>
      <rPr>
        <sz val="9"/>
        <color theme="1"/>
        <rFont val="맑은 고딕"/>
        <family val="3"/>
        <charset val="129"/>
      </rPr>
      <t>다릅니다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</si>
  <si>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(XLGantt</t>
    </r>
    <r>
      <rPr>
        <sz val="9"/>
        <color theme="1"/>
        <rFont val="맑은 고딕"/>
        <family val="3"/>
        <charset val="129"/>
      </rPr>
      <t>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엑셀파일인</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</si>
  <si>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오류</t>
    </r>
    <r>
      <rPr>
        <sz val="9"/>
        <color theme="1"/>
        <rFont val="Calibri"/>
        <family val="2"/>
      </rPr>
      <t xml:space="preserve">, </t>
    </r>
    <r>
      <rPr>
        <sz val="9"/>
        <color theme="1"/>
        <rFont val="맑은 고딕"/>
        <family val="3"/>
        <charset val="129"/>
      </rPr>
      <t>지정할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필드가</t>
    </r>
    <r>
      <rPr>
        <sz val="9"/>
        <color theme="1"/>
        <rFont val="Calibri"/>
        <family val="2"/>
      </rPr>
      <t xml:space="preserve"> </t>
    </r>
    <r>
      <rPr>
        <sz val="9"/>
        <color theme="1"/>
        <rFont val="맑은 고딕"/>
        <family val="3"/>
        <charset val="129"/>
      </rPr>
      <t>있습니다</t>
    </r>
  </si>
  <si>
    <r>
      <rPr>
        <sz val="9"/>
        <color theme="1"/>
        <rFont val="맑은 고딕"/>
        <family val="3"/>
        <charset val="129"/>
      </rPr>
      <t>기타</t>
    </r>
    <phoneticPr fontId="1" type="noConversion"/>
  </si>
  <si>
    <r>
      <rPr>
        <sz val="9"/>
        <color theme="1"/>
        <rFont val="맑은 고딕"/>
        <family val="3"/>
        <charset val="129"/>
      </rPr>
      <t>엑셀</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</si>
  <si>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</si>
  <si>
    <r>
      <rPr>
        <sz val="9"/>
        <color theme="1"/>
        <rFont val="맑은 고딕"/>
        <family val="3"/>
        <charset val="129"/>
      </rPr>
      <t>확장자명</t>
    </r>
  </si>
  <si>
    <r>
      <rPr>
        <sz val="9"/>
        <color theme="1"/>
        <rFont val="맑은 고딕"/>
        <family val="3"/>
        <charset val="129"/>
      </rPr>
      <t>필터</t>
    </r>
    <r>
      <rPr>
        <sz val="9"/>
        <color theme="1"/>
        <rFont val="Calibri"/>
        <family val="2"/>
      </rPr>
      <t xml:space="preserve"> </t>
    </r>
    <r>
      <rPr>
        <sz val="9"/>
        <color theme="1"/>
        <rFont val="맑은 고딕"/>
        <family val="3"/>
        <charset val="129"/>
      </rPr>
      <t>적용</t>
    </r>
  </si>
  <si>
    <r>
      <rPr>
        <sz val="9"/>
        <color theme="1"/>
        <rFont val="맑은 고딕"/>
        <family val="3"/>
        <charset val="129"/>
      </rPr>
      <t>작업</t>
    </r>
    <r>
      <rPr>
        <sz val="9"/>
        <color theme="1"/>
        <rFont val="Calibri"/>
        <family val="2"/>
      </rPr>
      <t xml:space="preserve"> </t>
    </r>
    <r>
      <rPr>
        <sz val="9"/>
        <color theme="1"/>
        <rFont val="맑은 고딕"/>
        <family val="3"/>
        <charset val="129"/>
      </rPr>
      <t>필터</t>
    </r>
  </si>
  <si>
    <r>
      <rPr>
        <sz val="9"/>
        <color theme="1"/>
        <rFont val="맑은 고딕"/>
        <family val="3"/>
        <charset val="129"/>
      </rPr>
      <t>완료일</t>
    </r>
  </si>
  <si>
    <r>
      <rPr>
        <sz val="9"/>
        <color theme="1"/>
        <rFont val="맑은 고딕"/>
        <family val="3"/>
        <charset val="129"/>
      </rPr>
      <t>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</si>
  <si>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</si>
  <si>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</si>
  <si>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</si>
  <si>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</si>
  <si>
    <r>
      <rPr>
        <sz val="9"/>
        <color theme="1"/>
        <rFont val="맑은 고딕"/>
        <family val="3"/>
        <charset val="129"/>
      </rPr>
      <t>컴퓨터</t>
    </r>
    <r>
      <rPr>
        <sz val="9"/>
        <color theme="1"/>
        <rFont val="Calibri"/>
        <family val="2"/>
      </rPr>
      <t xml:space="preserve"> O/S</t>
    </r>
    <r>
      <rPr>
        <sz val="9"/>
        <color theme="1"/>
        <rFont val="맑은 고딕"/>
        <family val="3"/>
        <charset val="129"/>
      </rPr>
      <t>의</t>
    </r>
    <r>
      <rPr>
        <sz val="9"/>
        <color theme="1"/>
        <rFont val="Calibri"/>
        <family val="2"/>
      </rPr>
      <t xml:space="preserve"> </t>
    </r>
    <r>
      <rPr>
        <sz val="9"/>
        <color theme="1"/>
        <rFont val="맑은 고딕"/>
        <family val="3"/>
        <charset val="129"/>
      </rPr>
      <t>언어설정을</t>
    </r>
    <r>
      <rPr>
        <sz val="9"/>
        <color theme="1"/>
        <rFont val="Calibri"/>
        <family val="2"/>
      </rPr>
      <t xml:space="preserve"> </t>
    </r>
    <r>
      <rPr>
        <sz val="9"/>
        <color theme="1"/>
        <rFont val="맑은 고딕"/>
        <family val="3"/>
        <charset val="129"/>
      </rPr>
      <t>따름</t>
    </r>
  </si>
  <si>
    <r>
      <rPr>
        <sz val="9"/>
        <color theme="1"/>
        <rFont val="맑은 고딕"/>
        <family val="3"/>
        <charset val="129"/>
      </rPr>
      <t>금</t>
    </r>
  </si>
  <si>
    <r>
      <t>Source</t>
    </r>
    <r>
      <rPr>
        <sz val="9"/>
        <color theme="1"/>
        <rFont val="맑은 고딕"/>
        <family val="3"/>
        <charset val="129"/>
      </rPr>
      <t>파일</t>
    </r>
    <r>
      <rPr>
        <sz val="9"/>
        <color theme="1"/>
        <rFont val="Calibri"/>
        <family val="2"/>
      </rPr>
      <t>(</t>
    </r>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</si>
  <si>
    <r>
      <rPr>
        <sz val="9"/>
        <color theme="1"/>
        <rFont val="맑은 고딕"/>
        <family val="3"/>
        <charset val="129"/>
      </rPr>
      <t>시작날짜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</si>
  <si>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Gantt chart</t>
    </r>
    <r>
      <rPr>
        <sz val="9"/>
        <color theme="1"/>
        <rFont val="맑은 고딕"/>
        <family val="3"/>
        <charset val="129"/>
      </rPr>
      <t>표시</t>
    </r>
    <r>
      <rPr>
        <sz val="9"/>
        <color theme="1"/>
        <rFont val="Calibri"/>
        <family val="2"/>
      </rPr>
      <t xml:space="preserve"> </t>
    </r>
    <r>
      <rPr>
        <sz val="9"/>
        <color theme="1"/>
        <rFont val="맑은 고딕"/>
        <family val="3"/>
        <charset val="129"/>
      </rPr>
      <t>방법</t>
    </r>
  </si>
  <si>
    <r>
      <rPr>
        <sz val="9"/>
        <color theme="1"/>
        <rFont val="맑은 고딕"/>
        <family val="3"/>
        <charset val="129"/>
      </rPr>
      <t>간트차트</t>
    </r>
    <r>
      <rPr>
        <sz val="9"/>
        <color theme="1"/>
        <rFont val="Calibri"/>
        <family val="2"/>
      </rPr>
      <t xml:space="preserve"> </t>
    </r>
    <r>
      <rPr>
        <sz val="9"/>
        <color theme="1"/>
        <rFont val="맑은 고딕"/>
        <family val="3"/>
        <charset val="129"/>
      </rPr>
      <t>그룹작업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</si>
  <si>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진척율선</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</si>
  <si>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하위작업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</si>
  <si>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타이틀</t>
    </r>
    <phoneticPr fontId="1" type="noConversion"/>
  </si>
  <si>
    <r>
      <t xml:space="preserve">Gantt Chart </t>
    </r>
    <r>
      <rPr>
        <sz val="9"/>
        <color theme="1"/>
        <rFont val="맑은 고딕"/>
        <family val="3"/>
        <charset val="129"/>
      </rPr>
      <t>보기</t>
    </r>
    <r>
      <rPr>
        <sz val="9"/>
        <color theme="1"/>
        <rFont val="Calibri"/>
        <family val="2"/>
      </rPr>
      <t xml:space="preserve"> </t>
    </r>
    <r>
      <rPr>
        <sz val="9"/>
        <color theme="1"/>
        <rFont val="맑은 고딕"/>
        <family val="3"/>
        <charset val="129"/>
      </rPr>
      <t>형식</t>
    </r>
  </si>
  <si>
    <r>
      <t xml:space="preserve">Gantt Chart </t>
    </r>
    <r>
      <rPr>
        <sz val="9"/>
        <color theme="1"/>
        <rFont val="맑은 고딕"/>
        <family val="3"/>
        <charset val="129"/>
      </rPr>
      <t>축소</t>
    </r>
    <r>
      <rPr>
        <sz val="9"/>
        <color theme="1"/>
        <rFont val="Calibri"/>
        <family val="2"/>
      </rPr>
      <t>/</t>
    </r>
    <r>
      <rPr>
        <sz val="9"/>
        <color theme="1"/>
        <rFont val="맑은 고딕"/>
        <family val="3"/>
        <charset val="129"/>
      </rPr>
      <t>확대</t>
    </r>
    <r>
      <rPr>
        <sz val="9"/>
        <color theme="1"/>
        <rFont val="Calibri"/>
        <family val="2"/>
      </rPr>
      <t xml:space="preserve"> </t>
    </r>
    <r>
      <rPr>
        <sz val="9"/>
        <color theme="1"/>
        <rFont val="맑은 고딕"/>
        <family val="3"/>
        <charset val="129"/>
      </rPr>
      <t>비율</t>
    </r>
    <r>
      <rPr>
        <sz val="9"/>
        <color theme="1"/>
        <rFont val="Calibri"/>
        <family val="2"/>
      </rPr>
      <t>(</t>
    </r>
    <r>
      <rPr>
        <sz val="9"/>
        <color theme="1"/>
        <rFont val="맑은 고딕"/>
        <family val="3"/>
        <charset val="129"/>
      </rPr>
      <t>최대</t>
    </r>
    <r>
      <rPr>
        <sz val="9"/>
        <color theme="1"/>
        <rFont val="Calibri"/>
        <family val="2"/>
      </rPr>
      <t xml:space="preserve"> 999%)</t>
    </r>
    <phoneticPr fontId="1" type="noConversion"/>
  </si>
  <si>
    <r>
      <rPr>
        <sz val="9"/>
        <color theme="1"/>
        <rFont val="맑은 고딕"/>
        <family val="3"/>
        <charset val="129"/>
      </rPr>
      <t>일반</t>
    </r>
    <phoneticPr fontId="1" type="noConversion"/>
  </si>
  <si>
    <r>
      <rPr>
        <sz val="9"/>
        <color theme="1"/>
        <rFont val="맑은 고딕"/>
        <family val="3"/>
        <charset val="129"/>
      </rPr>
      <t>간단</t>
    </r>
    <r>
      <rPr>
        <sz val="9"/>
        <color theme="1"/>
        <rFont val="Calibri"/>
        <family val="2"/>
      </rPr>
      <t xml:space="preserve"> </t>
    </r>
    <r>
      <rPr>
        <sz val="9"/>
        <color theme="1"/>
        <rFont val="맑은 고딕"/>
        <family val="3"/>
        <charset val="129"/>
      </rPr>
      <t>사용법</t>
    </r>
  </si>
  <si>
    <r>
      <rPr>
        <sz val="9"/>
        <color theme="1"/>
        <rFont val="맑은 고딕"/>
        <family val="3"/>
        <charset val="129"/>
      </rPr>
      <t>그린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</si>
  <si>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</si>
  <si>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r>
      <rPr>
        <sz val="9"/>
        <color theme="1"/>
        <rFont val="Calibri"/>
        <family val="2"/>
      </rPr>
      <t>(</t>
    </r>
    <r>
      <rPr>
        <sz val="9"/>
        <color theme="1"/>
        <rFont val="맑은 고딕"/>
        <family val="3"/>
        <charset val="129"/>
      </rPr>
      <t>최대</t>
    </r>
    <r>
      <rPr>
        <sz val="9"/>
        <color theme="1"/>
        <rFont val="Calibri"/>
        <family val="2"/>
      </rPr>
      <t xml:space="preserve"> 8 </t>
    </r>
    <r>
      <rPr>
        <sz val="9"/>
        <color theme="1"/>
        <rFont val="맑은 고딕"/>
        <family val="3"/>
        <charset val="129"/>
      </rPr>
      <t>레벨</t>
    </r>
    <r>
      <rPr>
        <sz val="9"/>
        <color theme="1"/>
        <rFont val="Calibri"/>
        <family val="2"/>
      </rPr>
      <t>)</t>
    </r>
    <phoneticPr fontId="1" type="noConversion"/>
  </si>
  <si>
    <r>
      <rPr>
        <sz val="9"/>
        <color theme="1"/>
        <rFont val="맑은 고딕"/>
        <family val="3"/>
        <charset val="129"/>
      </rPr>
      <t>도움말</t>
    </r>
    <phoneticPr fontId="1" type="noConversion"/>
  </si>
  <si>
    <r>
      <rPr>
        <sz val="9"/>
        <color theme="1"/>
        <rFont val="맑은 고딕"/>
        <family val="3"/>
        <charset val="129"/>
      </rPr>
      <t>도움말</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t>
    </r>
    <r>
      <rPr>
        <sz val="9"/>
        <color theme="1"/>
        <rFont val="Calibri"/>
        <family val="2"/>
      </rPr>
      <t xml:space="preserve"> </t>
    </r>
    <r>
      <rPr>
        <sz val="9"/>
        <color theme="1"/>
        <rFont val="맑은 고딕"/>
        <family val="3"/>
        <charset val="129"/>
      </rPr>
      <t>다운로드</t>
    </r>
    <phoneticPr fontId="1" type="noConversion"/>
  </si>
  <si>
    <r>
      <rPr>
        <sz val="9"/>
        <color theme="1"/>
        <rFont val="맑은 고딕"/>
        <family val="3"/>
        <charset val="129"/>
      </rPr>
      <t>사용법</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</si>
  <si>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소스파일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타겟파일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다르면</t>
    </r>
    <r>
      <rPr>
        <sz val="9"/>
        <color theme="1"/>
        <rFont val="Calibri"/>
        <family val="2"/>
      </rPr>
      <t xml:space="preserve"> Import</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</si>
  <si>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작업명으로</t>
    </r>
    <r>
      <rPr>
        <sz val="9"/>
        <color theme="1"/>
        <rFont val="Calibri"/>
        <family val="2"/>
      </rPr>
      <t xml:space="preserve"> </t>
    </r>
    <r>
      <rPr>
        <sz val="9"/>
        <color theme="1"/>
        <rFont val="맑은 고딕"/>
        <family val="3"/>
        <charset val="129"/>
      </rPr>
      <t>하위</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자동지정을</t>
    </r>
    <r>
      <rPr>
        <sz val="9"/>
        <color theme="1"/>
        <rFont val="Calibri"/>
        <family val="2"/>
      </rPr>
      <t xml:space="preserve"> </t>
    </r>
    <r>
      <rPr>
        <sz val="9"/>
        <color theme="1"/>
        <rFont val="맑은 고딕"/>
        <family val="3"/>
        <charset val="129"/>
      </rPr>
      <t>선택한</t>
    </r>
    <r>
      <rPr>
        <sz val="9"/>
        <color theme="1"/>
        <rFont val="Calibri"/>
        <family val="2"/>
      </rPr>
      <t xml:space="preserve"> </t>
    </r>
    <r>
      <rPr>
        <sz val="9"/>
        <color theme="1"/>
        <rFont val="맑은 고딕"/>
        <family val="3"/>
        <charset val="129"/>
      </rPr>
      <t>경우에는</t>
    </r>
    <r>
      <rPr>
        <sz val="9"/>
        <color theme="1"/>
        <rFont val="Calibri"/>
        <family val="2"/>
      </rPr>
      <t xml:space="preserve"> </t>
    </r>
    <r>
      <rPr>
        <sz val="9"/>
        <color theme="1"/>
        <rFont val="맑은 고딕"/>
        <family val="3"/>
        <charset val="129"/>
      </rPr>
      <t>상위의</t>
    </r>
    <r>
      <rPr>
        <sz val="9"/>
        <color theme="1"/>
        <rFont val="Calibri"/>
        <family val="2"/>
      </rPr>
      <t xml:space="preserve"> </t>
    </r>
    <r>
      <rPr>
        <sz val="9"/>
        <color theme="1"/>
        <rFont val="맑은 고딕"/>
        <family val="3"/>
        <charset val="129"/>
      </rPr>
      <t>기본경로를</t>
    </r>
    <r>
      <rPr>
        <sz val="9"/>
        <color theme="1"/>
        <rFont val="Calibri"/>
        <family val="2"/>
      </rPr>
      <t xml:space="preserve"> </t>
    </r>
    <r>
      <rPr>
        <sz val="9"/>
        <color theme="1"/>
        <rFont val="맑은 고딕"/>
        <family val="3"/>
        <charset val="129"/>
      </rPr>
      <t>설정해야</t>
    </r>
    <r>
      <rPr>
        <sz val="9"/>
        <color theme="1"/>
        <rFont val="Calibri"/>
        <family val="2"/>
      </rPr>
      <t xml:space="preserve"> </t>
    </r>
    <r>
      <rPr>
        <sz val="9"/>
        <color theme="1"/>
        <rFont val="맑은 고딕"/>
        <family val="3"/>
        <charset val="129"/>
      </rPr>
      <t>합니다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</si>
  <si>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실제시작일만</t>
    </r>
    <r>
      <rPr>
        <sz val="9"/>
        <color theme="1"/>
        <rFont val="Calibri"/>
        <family val="2"/>
      </rPr>
      <t xml:space="preserve"> </t>
    </r>
    <r>
      <rPr>
        <sz val="9"/>
        <color theme="1"/>
        <rFont val="맑은 고딕"/>
        <family val="3"/>
        <charset val="129"/>
      </rPr>
      <t>입력하고</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비워놓으면</t>
    </r>
    <r>
      <rPr>
        <sz val="9"/>
        <color theme="1"/>
        <rFont val="Calibri"/>
        <family val="2"/>
      </rPr>
      <t xml:space="preserve"> </t>
    </r>
    <r>
      <rPr>
        <sz val="9"/>
        <color theme="1"/>
        <rFont val="맑은 고딕"/>
        <family val="3"/>
        <charset val="129"/>
      </rPr>
      <t>완료율을</t>
    </r>
    <r>
      <rPr>
        <sz val="9"/>
        <color theme="1"/>
        <rFont val="Calibri"/>
        <family val="2"/>
      </rPr>
      <t xml:space="preserve"> 100%</t>
    </r>
    <r>
      <rPr>
        <sz val="9"/>
        <color theme="1"/>
        <rFont val="맑은 고딕"/>
        <family val="3"/>
        <charset val="129"/>
      </rPr>
      <t>로</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</si>
  <si>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기능을</t>
    </r>
    <r>
      <rPr>
        <sz val="9"/>
        <color theme="1"/>
        <rFont val="Calibri"/>
        <family val="2"/>
      </rPr>
      <t xml:space="preserve"> </t>
    </r>
    <r>
      <rPr>
        <sz val="9"/>
        <color theme="1"/>
        <rFont val="맑은 고딕"/>
        <family val="3"/>
        <charset val="129"/>
      </rPr>
      <t>간단히</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익히고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간단</t>
    </r>
    <r>
      <rPr>
        <sz val="9"/>
        <color theme="1"/>
        <rFont val="Calibri"/>
        <family val="2"/>
      </rPr>
      <t xml:space="preserve"> </t>
    </r>
    <r>
      <rPr>
        <sz val="9"/>
        <color theme="1"/>
        <rFont val="맑은 고딕"/>
        <family val="3"/>
        <charset val="129"/>
      </rPr>
      <t>사용법</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참고한다</t>
    </r>
  </si>
  <si>
    <r>
      <rPr>
        <sz val="9"/>
        <color theme="1"/>
        <rFont val="맑은 고딕"/>
        <family val="3"/>
        <charset val="129"/>
      </rPr>
      <t>가져오기</t>
    </r>
  </si>
  <si>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"ServerData" </t>
    </r>
    <r>
      <rPr>
        <sz val="9"/>
        <color theme="1"/>
        <rFont val="맑은 고딕"/>
        <family val="3"/>
        <charset val="129"/>
      </rPr>
      <t>시트의</t>
    </r>
    <r>
      <rPr>
        <sz val="9"/>
        <color theme="1"/>
        <rFont val="Calibri"/>
        <family val="2"/>
      </rPr>
      <t xml:space="preserve"> </t>
    </r>
    <r>
      <rPr>
        <sz val="9"/>
        <color theme="1"/>
        <rFont val="맑은 고딕"/>
        <family val="3"/>
        <charset val="129"/>
      </rPr>
      <t>데이터</t>
    </r>
    <r>
      <rPr>
        <sz val="9"/>
        <color theme="1"/>
        <rFont val="Calibri"/>
        <family val="2"/>
      </rPr>
      <t xml:space="preserve"> </t>
    </r>
    <r>
      <rPr>
        <sz val="9"/>
        <color theme="1"/>
        <rFont val="맑은 고딕"/>
        <family val="3"/>
        <charset val="129"/>
      </rPr>
      <t>가져오기</t>
    </r>
    <phoneticPr fontId="1" type="noConversion"/>
  </si>
  <si>
    <r>
      <rPr>
        <sz val="9"/>
        <color theme="1"/>
        <rFont val="맑은 고딕"/>
        <family val="3"/>
        <charset val="129"/>
      </rPr>
      <t>일반</t>
    </r>
    <r>
      <rPr>
        <sz val="9"/>
        <color theme="1"/>
        <rFont val="Calibri"/>
        <family val="2"/>
      </rPr>
      <t xml:space="preserve"> Excel </t>
    </r>
    <r>
      <rPr>
        <sz val="9"/>
        <color theme="1"/>
        <rFont val="맑은 고딕"/>
        <family val="3"/>
        <charset val="129"/>
      </rPr>
      <t>파일</t>
    </r>
  </si>
  <si>
    <r>
      <rPr>
        <sz val="9"/>
        <color theme="1"/>
        <rFont val="맑은 고딕"/>
        <family val="3"/>
        <charset val="129"/>
      </rPr>
      <t>기존</t>
    </r>
    <r>
      <rPr>
        <sz val="9"/>
        <color theme="1"/>
        <rFont val="Calibri"/>
        <family val="2"/>
      </rPr>
      <t xml:space="preserve">Data </t>
    </r>
    <r>
      <rPr>
        <sz val="9"/>
        <color theme="1"/>
        <rFont val="맑은 고딕"/>
        <family val="3"/>
        <charset val="129"/>
      </rPr>
      <t>지우고</t>
    </r>
    <r>
      <rPr>
        <sz val="9"/>
        <color theme="1"/>
        <rFont val="Calibri"/>
        <family val="2"/>
      </rPr>
      <t xml:space="preserve"> </t>
    </r>
    <r>
      <rPr>
        <sz val="9"/>
        <color theme="1"/>
        <rFont val="맑은 고딕"/>
        <family val="3"/>
        <charset val="129"/>
      </rPr>
      <t>가져오기</t>
    </r>
  </si>
  <si>
    <r>
      <rPr>
        <sz val="9"/>
        <color theme="1"/>
        <rFont val="맑은 고딕"/>
        <family val="3"/>
        <charset val="129"/>
      </rPr>
      <t>기존</t>
    </r>
    <r>
      <rPr>
        <sz val="9"/>
        <color theme="1"/>
        <rFont val="Calibri"/>
        <family val="2"/>
      </rPr>
      <t xml:space="preserve">Data </t>
    </r>
    <r>
      <rPr>
        <sz val="9"/>
        <color theme="1"/>
        <rFont val="맑은 고딕"/>
        <family val="3"/>
        <charset val="129"/>
      </rPr>
      <t>아래에</t>
    </r>
    <r>
      <rPr>
        <sz val="9"/>
        <color theme="1"/>
        <rFont val="Calibri"/>
        <family val="2"/>
      </rPr>
      <t xml:space="preserve"> </t>
    </r>
    <r>
      <rPr>
        <sz val="9"/>
        <color theme="1"/>
        <rFont val="맑은 고딕"/>
        <family val="3"/>
        <charset val="129"/>
      </rPr>
      <t>추가하기</t>
    </r>
  </si>
  <si>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A1</t>
    </r>
    <r>
      <rPr>
        <sz val="9"/>
        <color theme="1"/>
        <rFont val="맑은 고딕"/>
        <family val="3"/>
        <charset val="129"/>
      </rPr>
      <t>셀에는</t>
    </r>
    <r>
      <rPr>
        <sz val="9"/>
        <color theme="1"/>
        <rFont val="Calibri"/>
        <family val="2"/>
      </rPr>
      <t xml:space="preserve"> "xlgantt_reserved"</t>
    </r>
    <r>
      <rPr>
        <sz val="9"/>
        <color theme="1"/>
        <rFont val="맑은 고딕"/>
        <family val="3"/>
        <charset val="129"/>
      </rPr>
      <t>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</si>
  <si>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A2</t>
    </r>
    <r>
      <rPr>
        <sz val="9"/>
        <color theme="1"/>
        <rFont val="맑은 고딕"/>
        <family val="3"/>
        <charset val="129"/>
      </rPr>
      <t>셀에는</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결과가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</si>
  <si>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</si>
  <si>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서버에서</t>
    </r>
    <r>
      <rPr>
        <sz val="9"/>
        <color theme="1"/>
        <rFont val="Calibri"/>
        <family val="2"/>
      </rPr>
      <t>\n</t>
    </r>
    <r>
      <rPr>
        <sz val="9"/>
        <color theme="1"/>
        <rFont val="맑은 고딕"/>
        <family val="3"/>
        <charset val="129"/>
      </rPr>
      <t>가져오기</t>
    </r>
    <phoneticPr fontId="1" type="noConversion"/>
  </si>
  <si>
    <r>
      <rPr>
        <sz val="9"/>
        <color theme="1"/>
        <rFont val="맑은 고딕"/>
        <family val="3"/>
        <charset val="129"/>
      </rPr>
      <t>가져오기가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</si>
  <si>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지우고</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_x000D_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</si>
  <si>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그대로</t>
    </r>
    <r>
      <rPr>
        <sz val="9"/>
        <color theme="1"/>
        <rFont val="Calibri"/>
        <family val="2"/>
      </rPr>
      <t xml:space="preserve"> </t>
    </r>
    <r>
      <rPr>
        <sz val="9"/>
        <color theme="1"/>
        <rFont val="맑은 고딕"/>
        <family val="3"/>
        <charset val="129"/>
      </rPr>
      <t>두고</t>
    </r>
    <r>
      <rPr>
        <sz val="9"/>
        <color theme="1"/>
        <rFont val="Calibri"/>
        <family val="2"/>
      </rPr>
      <t xml:space="preserve"> </t>
    </r>
    <r>
      <rPr>
        <sz val="9"/>
        <color theme="1"/>
        <rFont val="맑은 고딕"/>
        <family val="3"/>
        <charset val="129"/>
      </rPr>
      <t>맨</t>
    </r>
    <r>
      <rPr>
        <sz val="9"/>
        <color theme="1"/>
        <rFont val="Calibri"/>
        <family val="2"/>
      </rPr>
      <t xml:space="preserve"> </t>
    </r>
    <r>
      <rPr>
        <sz val="9"/>
        <color theme="1"/>
        <rFont val="맑은 고딕"/>
        <family val="3"/>
        <charset val="129"/>
      </rPr>
      <t>아래에</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</si>
  <si>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가져오기</t>
    </r>
    <r>
      <rPr>
        <sz val="9"/>
        <color theme="1"/>
        <rFont val="Calibri"/>
        <family val="2"/>
      </rPr>
      <t xml:space="preserve"> </t>
    </r>
    <r>
      <rPr>
        <sz val="9"/>
        <color theme="1"/>
        <rFont val="맑은 고딕"/>
        <family val="3"/>
        <charset val="129"/>
      </rPr>
      <t>옵션</t>
    </r>
  </si>
  <si>
    <r>
      <rPr>
        <sz val="9"/>
        <color theme="1"/>
        <rFont val="맑은 고딕"/>
        <family val="3"/>
        <charset val="129"/>
      </rPr>
      <t>가져오기</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.\n</t>
    </r>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행수</t>
    </r>
    <r>
      <rPr>
        <sz val="9"/>
        <color theme="1"/>
        <rFont val="Calibri"/>
        <family val="2"/>
      </rPr>
      <t xml:space="preserve"> : </t>
    </r>
  </si>
  <si>
    <r>
      <rPr>
        <sz val="9"/>
        <color theme="1"/>
        <rFont val="맑은 고딕"/>
        <family val="3"/>
        <charset val="129"/>
      </rPr>
      <t>기존</t>
    </r>
    <r>
      <rPr>
        <sz val="9"/>
        <color theme="1"/>
        <rFont val="Calibri"/>
        <family val="2"/>
      </rPr>
      <t>Data</t>
    </r>
    <r>
      <rPr>
        <sz val="9"/>
        <color theme="1"/>
        <rFont val="맑은 고딕"/>
        <family val="3"/>
        <charset val="129"/>
      </rPr>
      <t>에</t>
    </r>
    <r>
      <rPr>
        <sz val="9"/>
        <color theme="1"/>
        <rFont val="Calibri"/>
        <family val="2"/>
      </rPr>
      <t xml:space="preserve"> </t>
    </r>
    <r>
      <rPr>
        <sz val="9"/>
        <color theme="1"/>
        <rFont val="맑은 고딕"/>
        <family val="3"/>
        <charset val="129"/>
      </rPr>
      <t>추가하기</t>
    </r>
  </si>
  <si>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</si>
  <si>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다른</t>
    </r>
    <r>
      <rPr>
        <sz val="9"/>
        <color theme="1"/>
        <rFont val="Calibri"/>
        <family val="2"/>
      </rPr>
      <t xml:space="preserve"> </t>
    </r>
    <r>
      <rPr>
        <sz val="9"/>
        <color theme="1"/>
        <rFont val="맑은 고딕"/>
        <family val="3"/>
        <charset val="129"/>
      </rPr>
      <t>파일에서</t>
    </r>
    <r>
      <rPr>
        <sz val="9"/>
        <color theme="1"/>
        <rFont val="Calibri"/>
        <family val="2"/>
      </rPr>
      <t xml:space="preserve"> </t>
    </r>
    <r>
      <rPr>
        <sz val="9"/>
        <color theme="1"/>
        <rFont val="맑은 고딕"/>
        <family val="3"/>
        <charset val="129"/>
      </rPr>
      <t>일정</t>
    </r>
    <r>
      <rPr>
        <sz val="9"/>
        <color theme="1"/>
        <rFont val="Calibri"/>
        <family val="2"/>
      </rPr>
      <t xml:space="preserve"> </t>
    </r>
    <r>
      <rPr>
        <sz val="9"/>
        <color theme="1"/>
        <rFont val="맑은 고딕"/>
        <family val="3"/>
        <charset val="129"/>
      </rPr>
      <t>가져오기</t>
    </r>
  </si>
  <si>
    <r>
      <t xml:space="preserve">Server Data </t>
    </r>
    <r>
      <rPr>
        <sz val="9"/>
        <color theme="1"/>
        <rFont val="맑은 고딕"/>
        <family val="3"/>
        <charset val="129"/>
      </rPr>
      <t>가져오기</t>
    </r>
  </si>
  <si>
    <r>
      <rPr>
        <sz val="9"/>
        <color theme="1"/>
        <rFont val="맑은 고딕"/>
        <family val="3"/>
        <charset val="129"/>
      </rPr>
      <t>자료를</t>
    </r>
    <r>
      <rPr>
        <sz val="9"/>
        <color theme="1"/>
        <rFont val="Calibri"/>
        <family val="2"/>
      </rPr>
      <t xml:space="preserve"> </t>
    </r>
    <r>
      <rPr>
        <sz val="9"/>
        <color theme="1"/>
        <rFont val="맑은 고딕"/>
        <family val="3"/>
        <charset val="129"/>
      </rPr>
      <t>가져옵니다</t>
    </r>
    <r>
      <rPr>
        <sz val="9"/>
        <color theme="1"/>
        <rFont val="Calibri"/>
        <family val="2"/>
      </rPr>
      <t xml:space="preserve">. </t>
    </r>
    <r>
      <rPr>
        <sz val="9"/>
        <color theme="1"/>
        <rFont val="맑은 고딕"/>
        <family val="3"/>
        <charset val="129"/>
      </rPr>
      <t>잠시만</t>
    </r>
    <r>
      <rPr>
        <sz val="9"/>
        <color theme="1"/>
        <rFont val="Calibri"/>
        <family val="2"/>
      </rPr>
      <t xml:space="preserve"> </t>
    </r>
    <r>
      <rPr>
        <sz val="9"/>
        <color theme="1"/>
        <rFont val="맑은 고딕"/>
        <family val="3"/>
        <charset val="129"/>
      </rPr>
      <t>기다려주세요</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</si>
  <si>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엑셀간트</t>
    </r>
    <r>
      <rPr>
        <sz val="9"/>
        <color theme="1"/>
        <rFont val="Calibri"/>
        <family val="2"/>
      </rPr>
      <t xml:space="preserve">(XLGantt) </t>
    </r>
    <r>
      <rPr>
        <sz val="9"/>
        <color theme="1"/>
        <rFont val="맑은 고딕"/>
        <family val="3"/>
        <charset val="129"/>
      </rPr>
      <t>또는</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엑셀파일로</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가져오는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</si>
  <si>
    <r>
      <rPr>
        <sz val="9"/>
        <color theme="1"/>
        <rFont val="맑은 고딕"/>
        <family val="3"/>
        <charset val="129"/>
      </rPr>
      <t>산출물명</t>
    </r>
    <r>
      <rPr>
        <sz val="9"/>
        <color theme="1"/>
        <rFont val="Calibri"/>
        <family val="2"/>
      </rPr>
      <t xml:space="preserve"> </t>
    </r>
    <r>
      <rPr>
        <sz val="9"/>
        <color theme="1"/>
        <rFont val="맑은 고딕"/>
        <family val="3"/>
        <charset val="129"/>
      </rPr>
      <t>비었을때</t>
    </r>
    <r>
      <rPr>
        <sz val="9"/>
        <color theme="1"/>
        <rFont val="Calibri"/>
        <family val="2"/>
      </rPr>
      <t>\n</t>
    </r>
    <r>
      <rPr>
        <sz val="9"/>
        <color theme="1"/>
        <rFont val="맑은 고딕"/>
        <family val="3"/>
        <charset val="129"/>
      </rPr>
      <t>선택목록에</t>
    </r>
    <r>
      <rPr>
        <sz val="9"/>
        <color theme="1"/>
        <rFont val="Calibri"/>
        <family val="2"/>
      </rPr>
      <t xml:space="preserve"> </t>
    </r>
    <r>
      <rPr>
        <sz val="9"/>
        <color theme="1"/>
        <rFont val="맑은 고딕"/>
        <family val="3"/>
        <charset val="129"/>
      </rPr>
      <t>포함</t>
    </r>
    <r>
      <rPr>
        <sz val="9"/>
        <color theme="1"/>
        <rFont val="Calibri"/>
        <family val="2"/>
      </rPr>
      <t>\n</t>
    </r>
    <r>
      <rPr>
        <sz val="9"/>
        <color theme="1"/>
        <rFont val="맑은 고딕"/>
        <family val="3"/>
        <charset val="129"/>
      </rPr>
      <t>여부</t>
    </r>
  </si>
  <si>
    <r>
      <rPr>
        <sz val="9"/>
        <color theme="1"/>
        <rFont val="맑은 고딕"/>
        <family val="3"/>
        <charset val="129"/>
      </rPr>
      <t>작업레벨</t>
    </r>
    <r>
      <rPr>
        <sz val="9"/>
        <color theme="1"/>
        <rFont val="Calibri"/>
        <family val="2"/>
      </rPr>
      <t xml:space="preserve"> </t>
    </r>
    <r>
      <rPr>
        <sz val="9"/>
        <color theme="1"/>
        <rFont val="맑은 고딕"/>
        <family val="3"/>
        <charset val="129"/>
      </rPr>
      <t>내림</t>
    </r>
  </si>
  <si>
    <r>
      <t xml:space="preserve">Chart </t>
    </r>
    <r>
      <rPr>
        <sz val="9"/>
        <color theme="1"/>
        <rFont val="맑은 고딕"/>
        <family val="3"/>
        <charset val="129"/>
      </rPr>
      <t>내부</t>
    </r>
  </si>
  <si>
    <r>
      <t>Excel</t>
    </r>
    <r>
      <rPr>
        <sz val="9"/>
        <color theme="1"/>
        <rFont val="맑은 고딕"/>
        <family val="3"/>
        <charset val="129"/>
      </rPr>
      <t>기능과</t>
    </r>
    <r>
      <rPr>
        <sz val="9"/>
        <color theme="1"/>
        <rFont val="Calibri"/>
        <family val="2"/>
      </rPr>
      <t xml:space="preserve"> </t>
    </r>
    <r>
      <rPr>
        <sz val="9"/>
        <color theme="1"/>
        <rFont val="맑은 고딕"/>
        <family val="3"/>
        <charset val="129"/>
      </rPr>
      <t>통합</t>
    </r>
    <phoneticPr fontId="1" type="noConversion"/>
  </si>
  <si>
    <r>
      <rPr>
        <sz val="9"/>
        <color theme="1"/>
        <rFont val="맑은 고딕"/>
        <family val="3"/>
        <charset val="129"/>
      </rPr>
      <t>필드명이</t>
    </r>
    <r>
      <rPr>
        <sz val="9"/>
        <color theme="1"/>
        <rFont val="Calibri"/>
        <family val="2"/>
      </rPr>
      <t xml:space="preserve"> </t>
    </r>
    <r>
      <rPr>
        <sz val="9"/>
        <color theme="1"/>
        <rFont val="맑은 고딕"/>
        <family val="3"/>
        <charset val="129"/>
      </rPr>
      <t>잘못되었습니다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</si>
  <si>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Data</t>
    </r>
    <r>
      <rPr>
        <sz val="9"/>
        <color theme="1"/>
        <rFont val="맑은 고딕"/>
        <family val="3"/>
        <charset val="129"/>
      </rPr>
      <t>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사용한다</t>
    </r>
    <r>
      <rPr>
        <sz val="9"/>
        <color theme="1"/>
        <rFont val="Calibri"/>
        <family val="2"/>
      </rPr>
      <t>.</t>
    </r>
  </si>
  <si>
    <r>
      <rPr>
        <sz val="9"/>
        <color theme="1"/>
        <rFont val="맑은 고딕"/>
        <family val="3"/>
        <charset val="129"/>
      </rPr>
      <t>이미</t>
    </r>
    <r>
      <rPr>
        <sz val="9"/>
        <color theme="1"/>
        <rFont val="Calibri"/>
        <family val="2"/>
      </rPr>
      <t xml:space="preserve"> </t>
    </r>
    <r>
      <rPr>
        <sz val="9"/>
        <color theme="1"/>
        <rFont val="맑은 고딕"/>
        <family val="3"/>
        <charset val="129"/>
      </rPr>
      <t>선택된</t>
    </r>
    <r>
      <rPr>
        <sz val="9"/>
        <color theme="1"/>
        <rFont val="Calibri"/>
        <family val="2"/>
      </rPr>
      <t xml:space="preserve"> </t>
    </r>
    <r>
      <rPr>
        <sz val="9"/>
        <color theme="1"/>
        <rFont val="맑은 고딕"/>
        <family val="3"/>
        <charset val="129"/>
      </rPr>
      <t>언어입니다</t>
    </r>
    <r>
      <rPr>
        <sz val="9"/>
        <color theme="1"/>
        <rFont val="Calibri"/>
        <family val="2"/>
      </rPr>
      <t>.</t>
    </r>
  </si>
  <si>
    <r>
      <rPr>
        <sz val="9"/>
        <color theme="1"/>
        <rFont val="맑은 고딕"/>
        <family val="3"/>
        <charset val="129"/>
      </rPr>
      <t>작업결과</t>
    </r>
  </si>
  <si>
    <r>
      <rPr>
        <sz val="9"/>
        <color theme="1"/>
        <rFont val="맑은 고딕"/>
        <family val="3"/>
        <charset val="129"/>
      </rPr>
      <t>홍길동</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</si>
  <si>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t>
    </r>
    <r>
      <rPr>
        <sz val="9"/>
        <color theme="1"/>
        <rFont val="Calibri"/>
        <family val="2"/>
      </rPr>
      <t xml:space="preserve"> </t>
    </r>
    <r>
      <rPr>
        <sz val="9"/>
        <color theme="1"/>
        <rFont val="맑은 고딕"/>
        <family val="3"/>
        <charset val="129"/>
      </rPr>
      <t>파악하기</t>
    </r>
  </si>
  <si>
    <r>
      <rPr>
        <sz val="9"/>
        <color theme="1"/>
        <rFont val="맑은 고딕"/>
        <family val="3"/>
        <charset val="129"/>
      </rPr>
      <t>언어</t>
    </r>
    <phoneticPr fontId="1" type="noConversion"/>
  </si>
  <si>
    <r>
      <t xml:space="preserve">Chart </t>
    </r>
    <r>
      <rPr>
        <sz val="9"/>
        <color theme="1"/>
        <rFont val="맑은 고딕"/>
        <family val="3"/>
        <charset val="129"/>
      </rPr>
      <t>왼쪽</t>
    </r>
  </si>
  <si>
    <r>
      <rPr>
        <sz val="9"/>
        <color theme="1"/>
        <rFont val="맑은 고딕"/>
        <family val="3"/>
        <charset val="129"/>
      </rPr>
      <t>라이선스</t>
    </r>
  </si>
  <si>
    <r>
      <t>Workload data</t>
    </r>
    <r>
      <rPr>
        <sz val="9"/>
        <color theme="1"/>
        <rFont val="맑은 고딕"/>
        <family val="3"/>
        <charset val="129"/>
      </rPr>
      <t>를</t>
    </r>
    <r>
      <rPr>
        <sz val="9"/>
        <color theme="1"/>
        <rFont val="Calibri"/>
        <family val="2"/>
      </rPr>
      <t xml:space="preserve"> </t>
    </r>
    <r>
      <rPr>
        <sz val="9"/>
        <color theme="1"/>
        <rFont val="맑은 고딕"/>
        <family val="3"/>
        <charset val="129"/>
      </rPr>
      <t>주별</t>
    </r>
    <r>
      <rPr>
        <sz val="9"/>
        <color theme="1"/>
        <rFont val="Calibri"/>
        <family val="2"/>
      </rPr>
      <t>/</t>
    </r>
    <r>
      <rPr>
        <sz val="9"/>
        <color theme="1"/>
        <rFont val="맑은 고딕"/>
        <family val="3"/>
        <charset val="129"/>
      </rPr>
      <t>월별로</t>
    </r>
    <r>
      <rPr>
        <sz val="9"/>
        <color theme="1"/>
        <rFont val="Calibri"/>
        <family val="2"/>
      </rPr>
      <t xml:space="preserve"> </t>
    </r>
    <r>
      <rPr>
        <sz val="9"/>
        <color theme="1"/>
        <rFont val="맑은 고딕"/>
        <family val="3"/>
        <charset val="129"/>
      </rPr>
      <t>만들어</t>
    </r>
    <r>
      <rPr>
        <sz val="9"/>
        <color theme="1"/>
        <rFont val="Calibri"/>
        <family val="2"/>
      </rPr>
      <t xml:space="preserve"> </t>
    </r>
    <r>
      <rPr>
        <sz val="9"/>
        <color theme="1"/>
        <rFont val="맑은 고딕"/>
        <family val="3"/>
        <charset val="129"/>
      </rPr>
      <t>준다</t>
    </r>
    <r>
      <rPr>
        <sz val="9"/>
        <color theme="1"/>
        <rFont val="Calibri"/>
        <family val="2"/>
      </rPr>
      <t xml:space="preserve">. </t>
    </r>
    <r>
      <rPr>
        <sz val="9"/>
        <color theme="1"/>
        <rFont val="맑은 고딕"/>
        <family val="3"/>
        <charset val="129"/>
      </rPr>
      <t>피벗</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원하는대로</t>
    </r>
    <r>
      <rPr>
        <sz val="9"/>
        <color theme="1"/>
        <rFont val="Calibri"/>
        <family val="2"/>
      </rPr>
      <t xml:space="preserve"> </t>
    </r>
    <r>
      <rPr>
        <sz val="9"/>
        <color theme="1"/>
        <rFont val="맑은 고딕"/>
        <family val="3"/>
        <charset val="129"/>
      </rPr>
      <t>분석을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</si>
  <si>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r>
      <rPr>
        <sz val="9"/>
        <color theme="1"/>
        <rFont val="Calibri"/>
        <family val="2"/>
      </rPr>
      <t>”</t>
    </r>
    <r>
      <rPr>
        <sz val="9"/>
        <color theme="1"/>
        <rFont val="맑은 고딕"/>
        <family val="3"/>
        <charset val="129"/>
      </rPr>
      <t>기능을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실제시작일과</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지연되고</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</si>
  <si>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</si>
  <si>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수동</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</si>
  <si>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마일스톤으로</t>
    </r>
    <r>
      <rPr>
        <sz val="9"/>
        <color theme="1"/>
        <rFont val="Calibri"/>
        <family val="2"/>
      </rPr>
      <t xml:space="preserve"> </t>
    </r>
    <r>
      <rPr>
        <sz val="9"/>
        <color theme="1"/>
        <rFont val="맑은 고딕"/>
        <family val="3"/>
        <charset val="129"/>
      </rPr>
      <t>지정</t>
    </r>
    <phoneticPr fontId="1" type="noConversion"/>
  </si>
  <si>
    <r>
      <t>yyyy</t>
    </r>
    <r>
      <rPr>
        <sz val="9"/>
        <color theme="1"/>
        <rFont val="맑은 고딕"/>
        <family val="3"/>
        <charset val="129"/>
      </rPr>
      <t>년</t>
    </r>
    <r>
      <rPr>
        <sz val="9"/>
        <color theme="1"/>
        <rFont val="Calibri"/>
        <family val="2"/>
      </rPr>
      <t xml:space="preserve"> m</t>
    </r>
    <r>
      <rPr>
        <sz val="9"/>
        <color theme="1"/>
        <rFont val="맑은 고딕"/>
        <family val="3"/>
        <charset val="129"/>
      </rPr>
      <t>월</t>
    </r>
  </si>
  <si>
    <r>
      <rPr>
        <sz val="9"/>
        <color theme="1"/>
        <rFont val="맑은 고딕"/>
        <family val="3"/>
        <charset val="129"/>
      </rPr>
      <t>월</t>
    </r>
  </si>
  <si>
    <r>
      <rPr>
        <sz val="9"/>
        <color theme="1"/>
        <rFont val="맑은 고딕"/>
        <family val="3"/>
        <charset val="129"/>
      </rPr>
      <t>월별</t>
    </r>
  </si>
  <si>
    <r>
      <rPr>
        <sz val="9"/>
        <color theme="1"/>
        <rFont val="맑은 고딕"/>
        <family val="3"/>
        <charset val="129"/>
      </rPr>
      <t>월별보기</t>
    </r>
  </si>
  <si>
    <r>
      <rPr>
        <sz val="9"/>
        <color theme="1"/>
        <rFont val="맑은 고딕"/>
        <family val="3"/>
        <charset val="129"/>
      </rPr>
      <t>다국어</t>
    </r>
    <r>
      <rPr>
        <sz val="9"/>
        <color theme="1"/>
        <rFont val="Calibri"/>
        <family val="2"/>
      </rPr>
      <t xml:space="preserve"> </t>
    </r>
    <r>
      <rPr>
        <sz val="9"/>
        <color theme="1"/>
        <rFont val="맑은 고딕"/>
        <family val="3"/>
        <charset val="129"/>
      </rPr>
      <t>지원</t>
    </r>
  </si>
  <si>
    <r>
      <rPr>
        <sz val="9"/>
        <color theme="1"/>
        <rFont val="맑은 고딕"/>
        <family val="3"/>
        <charset val="129"/>
      </rPr>
      <t>휴무일명</t>
    </r>
  </si>
  <si>
    <r>
      <rPr>
        <sz val="9"/>
        <color theme="1"/>
        <rFont val="맑은 고딕"/>
        <family val="3"/>
        <charset val="129"/>
      </rPr>
      <t>최신</t>
    </r>
    <r>
      <rPr>
        <sz val="9"/>
        <color theme="1"/>
        <rFont val="Calibri"/>
        <family val="2"/>
      </rPr>
      <t xml:space="preserve"> </t>
    </r>
    <r>
      <rPr>
        <sz val="9"/>
        <color theme="1"/>
        <rFont val="맑은 고딕"/>
        <family val="3"/>
        <charset val="129"/>
      </rPr>
      <t>버전</t>
    </r>
  </si>
  <si>
    <r>
      <rPr>
        <sz val="9"/>
        <color theme="1"/>
        <rFont val="맑은 고딕"/>
        <family val="3"/>
        <charset val="129"/>
      </rPr>
      <t>다음</t>
    </r>
    <r>
      <rPr>
        <sz val="9"/>
        <color theme="1"/>
        <rFont val="Calibri"/>
        <family val="2"/>
      </rPr>
      <t xml:space="preserve"> &gt;&gt;</t>
    </r>
  </si>
  <si>
    <r>
      <rPr>
        <sz val="9"/>
        <color theme="1"/>
        <rFont val="맑은 고딕"/>
        <family val="3"/>
        <charset val="129"/>
      </rPr>
      <t>가져올</t>
    </r>
    <r>
      <rPr>
        <sz val="9"/>
        <color theme="1"/>
        <rFont val="Calibri"/>
        <family val="2"/>
      </rPr>
      <t xml:space="preserve"> </t>
    </r>
    <r>
      <rPr>
        <sz val="9"/>
        <color theme="1"/>
        <rFont val="맑은 고딕"/>
        <family val="3"/>
        <charset val="129"/>
      </rPr>
      <t>데이터가</t>
    </r>
    <r>
      <rPr>
        <sz val="9"/>
        <color theme="1"/>
        <rFont val="Calibri"/>
        <family val="2"/>
      </rPr>
      <t xml:space="preserve"> </t>
    </r>
    <r>
      <rPr>
        <sz val="9"/>
        <color theme="1"/>
        <rFont val="맑은 고딕"/>
        <family val="3"/>
        <charset val="129"/>
      </rPr>
      <t>없습니다</t>
    </r>
    <r>
      <rPr>
        <sz val="9"/>
        <color theme="1"/>
        <rFont val="Calibri"/>
        <family val="2"/>
      </rPr>
      <t>.</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</si>
  <si>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</si>
  <si>
    <r>
      <rPr>
        <sz val="9"/>
        <color theme="1"/>
        <rFont val="맑은 고딕"/>
        <family val="3"/>
        <charset val="129"/>
      </rPr>
      <t>토요일</t>
    </r>
    <r>
      <rPr>
        <sz val="9"/>
        <color theme="1"/>
        <rFont val="Calibri"/>
        <family val="2"/>
      </rPr>
      <t>,</t>
    </r>
    <r>
      <rPr>
        <sz val="9"/>
        <color theme="1"/>
        <rFont val="맑은 고딕"/>
        <family val="3"/>
        <charset val="129"/>
      </rPr>
      <t>일요일은</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phoneticPr fontId="1" type="noConversion"/>
  </si>
  <si>
    <r>
      <rPr>
        <sz val="9"/>
        <color theme="1"/>
        <rFont val="맑은 고딕"/>
        <family val="3"/>
        <charset val="129"/>
      </rPr>
      <t>표시</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</si>
  <si>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휴무일자</t>
    </r>
  </si>
  <si>
    <r>
      <rPr>
        <sz val="9"/>
        <color theme="1"/>
        <rFont val="맑은 고딕"/>
        <family val="3"/>
        <charset val="129"/>
      </rPr>
      <t>미완료</t>
    </r>
  </si>
  <si>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</si>
  <si>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지정하지</t>
    </r>
    <r>
      <rPr>
        <sz val="9"/>
        <color theme="1"/>
        <rFont val="Calibri"/>
        <family val="2"/>
      </rPr>
      <t xml:space="preserve"> </t>
    </r>
    <r>
      <rPr>
        <sz val="9"/>
        <color theme="1"/>
        <rFont val="맑은 고딕"/>
        <family val="3"/>
        <charset val="129"/>
      </rPr>
      <t>않음</t>
    </r>
    <r>
      <rPr>
        <sz val="9"/>
        <color theme="1"/>
        <rFont val="Calibri"/>
        <family val="2"/>
      </rPr>
      <t>(</t>
    </r>
    <r>
      <rPr>
        <sz val="9"/>
        <color theme="1"/>
        <rFont val="맑은 고딕"/>
        <family val="3"/>
        <charset val="129"/>
      </rPr>
      <t>표준캘린더</t>
    </r>
    <r>
      <rPr>
        <sz val="9"/>
        <color theme="1"/>
        <rFont val="Calibri"/>
        <family val="2"/>
      </rPr>
      <t>)</t>
    </r>
  </si>
  <si>
    <r>
      <rPr>
        <sz val="9"/>
        <color theme="1"/>
        <rFont val="맑은 고딕"/>
        <family val="3"/>
        <charset val="129"/>
      </rPr>
      <t>비고</t>
    </r>
  </si>
  <si>
    <r>
      <t>"</t>
    </r>
    <r>
      <rPr>
        <sz val="9"/>
        <color theme="1"/>
        <rFont val="맑은 고딕"/>
        <family val="3"/>
        <charset val="129"/>
      </rPr>
      <t>작업</t>
    </r>
    <r>
      <rPr>
        <sz val="9"/>
        <color theme="1"/>
        <rFont val="Calibri"/>
        <family val="2"/>
      </rPr>
      <t>"</t>
    </r>
    <r>
      <rPr>
        <sz val="9"/>
        <color theme="1"/>
        <rFont val="맑은 고딕"/>
        <family val="3"/>
        <charset val="129"/>
      </rPr>
      <t>열의</t>
    </r>
    <r>
      <rPr>
        <sz val="9"/>
        <color theme="1"/>
        <rFont val="Calibri"/>
        <family val="2"/>
      </rPr>
      <t xml:space="preserve"> </t>
    </r>
    <r>
      <rPr>
        <sz val="9"/>
        <color theme="1"/>
        <rFont val="맑은 고딕"/>
        <family val="3"/>
        <charset val="129"/>
      </rPr>
      <t>개수</t>
    </r>
    <r>
      <rPr>
        <sz val="9"/>
        <color theme="1"/>
        <rFont val="Calibri"/>
        <family val="2"/>
      </rPr>
      <t>(</t>
    </r>
    <r>
      <rPr>
        <sz val="9"/>
        <color theme="1"/>
        <rFont val="맑은 고딕"/>
        <family val="3"/>
        <charset val="129"/>
      </rPr>
      <t>최대</t>
    </r>
    <r>
      <rPr>
        <sz val="9"/>
        <color theme="1"/>
        <rFont val="Calibri"/>
        <family val="2"/>
      </rPr>
      <t xml:space="preserve"> 20</t>
    </r>
    <r>
      <rPr>
        <sz val="9"/>
        <color theme="1"/>
        <rFont val="맑은 고딕"/>
        <family val="3"/>
        <charset val="129"/>
      </rPr>
      <t>개</t>
    </r>
    <r>
      <rPr>
        <sz val="9"/>
        <color theme="1"/>
        <rFont val="Calibri"/>
        <family val="2"/>
      </rPr>
      <t>)</t>
    </r>
    <phoneticPr fontId="1" type="noConversion"/>
  </si>
  <si>
    <r>
      <t>1~2</t>
    </r>
    <r>
      <rPr>
        <sz val="9"/>
        <color theme="1"/>
        <rFont val="맑은 고딕"/>
        <family val="3"/>
        <charset val="129"/>
      </rPr>
      <t>행</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한</t>
    </r>
    <r>
      <rPr>
        <sz val="9"/>
        <color theme="1"/>
        <rFont val="Calibri"/>
        <family val="2"/>
      </rPr>
      <t xml:space="preserve"> </t>
    </r>
    <r>
      <rPr>
        <sz val="9"/>
        <color theme="1"/>
        <rFont val="맑은 고딕"/>
        <family val="3"/>
        <charset val="129"/>
      </rPr>
      <t>행이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작업하십시오</t>
    </r>
    <r>
      <rPr>
        <sz val="9"/>
        <color theme="1"/>
        <rFont val="Calibri"/>
        <family val="2"/>
      </rPr>
      <t>.</t>
    </r>
  </si>
  <si>
    <r>
      <rPr>
        <sz val="9"/>
        <color theme="1"/>
        <rFont val="맑은 고딕"/>
        <family val="3"/>
        <charset val="129"/>
      </rPr>
      <t>일정</t>
    </r>
    <r>
      <rPr>
        <sz val="9"/>
        <color theme="1"/>
        <rFont val="Calibri"/>
        <family val="2"/>
      </rPr>
      <t xml:space="preserve"> </t>
    </r>
    <r>
      <rPr>
        <sz val="9"/>
        <color theme="1"/>
        <rFont val="맑은 고딕"/>
        <family val="3"/>
        <charset val="129"/>
      </rPr>
      <t>준수</t>
    </r>
    <phoneticPr fontId="1" type="noConversion"/>
  </si>
  <si>
    <r>
      <t>"</t>
    </r>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선택했으면</t>
    </r>
    <r>
      <rPr>
        <sz val="9"/>
        <color theme="1"/>
        <rFont val="Calibri"/>
        <family val="2"/>
      </rPr>
      <t xml:space="preserve"> WBS No. </t>
    </r>
    <r>
      <rPr>
        <sz val="9"/>
        <color theme="1"/>
        <rFont val="맑은 고딕"/>
        <family val="3"/>
        <charset val="129"/>
      </rPr>
      <t>또는</t>
    </r>
    <r>
      <rPr>
        <sz val="9"/>
        <color theme="1"/>
        <rFont val="Calibri"/>
        <family val="2"/>
      </rPr>
      <t xml:space="preserve"> </t>
    </r>
    <r>
      <rPr>
        <sz val="9"/>
        <color theme="1"/>
        <rFont val="맑은 고딕"/>
        <family val="3"/>
        <charset val="129"/>
      </rPr>
      <t>개요수준</t>
    </r>
    <r>
      <rPr>
        <sz val="9"/>
        <color theme="1"/>
        <rFont val="Calibri"/>
        <family val="2"/>
      </rPr>
      <t xml:space="preserve">(WBS Level) </t>
    </r>
    <r>
      <rPr>
        <sz val="9"/>
        <color theme="1"/>
        <rFont val="맑은 고딕"/>
        <family val="3"/>
        <charset val="129"/>
      </rPr>
      <t>필드</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하나는</t>
    </r>
    <r>
      <rPr>
        <sz val="9"/>
        <color theme="1"/>
        <rFont val="Calibri"/>
        <family val="2"/>
      </rPr>
      <t xml:space="preserve"> </t>
    </r>
    <r>
      <rPr>
        <sz val="9"/>
        <color theme="1"/>
        <rFont val="맑은 고딕"/>
        <family val="3"/>
        <charset val="129"/>
      </rPr>
      <t>선택되어야</t>
    </r>
    <r>
      <rPr>
        <sz val="9"/>
        <color theme="1"/>
        <rFont val="Calibri"/>
        <family val="2"/>
      </rPr>
      <t xml:space="preserve"> </t>
    </r>
    <r>
      <rPr>
        <sz val="9"/>
        <color theme="1"/>
        <rFont val="맑은 고딕"/>
        <family val="3"/>
        <charset val="129"/>
      </rPr>
      <t>합니다</t>
    </r>
  </si>
  <si>
    <r>
      <rPr>
        <sz val="9"/>
        <color theme="1"/>
        <rFont val="맑은 고딕"/>
        <family val="3"/>
        <charset val="129"/>
      </rPr>
      <t>토요일</t>
    </r>
    <r>
      <rPr>
        <sz val="9"/>
        <color theme="1"/>
        <rFont val="Calibri"/>
        <family val="2"/>
      </rPr>
      <t>,</t>
    </r>
    <r>
      <rPr>
        <sz val="9"/>
        <color theme="1"/>
        <rFont val="맑은 고딕"/>
        <family val="3"/>
        <charset val="129"/>
      </rPr>
      <t>일요일만</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</si>
  <si>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날짜만</t>
    </r>
    <phoneticPr fontId="1" type="noConversion"/>
  </si>
  <si>
    <r>
      <rPr>
        <sz val="9"/>
        <color theme="1"/>
        <rFont val="맑은 고딕"/>
        <family val="3"/>
        <charset val="129"/>
      </rPr>
      <t>산출물</t>
    </r>
    <r>
      <rPr>
        <sz val="9"/>
        <color theme="1"/>
        <rFont val="Calibri"/>
        <family val="2"/>
      </rPr>
      <t xml:space="preserve"> </t>
    </r>
    <r>
      <rPr>
        <sz val="9"/>
        <color theme="1"/>
        <rFont val="맑은 고딕"/>
        <family val="3"/>
        <charset val="129"/>
      </rPr>
      <t>열기</t>
    </r>
  </si>
  <si>
    <r>
      <rPr>
        <sz val="9"/>
        <color theme="1"/>
        <rFont val="맑은 고딕"/>
        <family val="3"/>
        <charset val="129"/>
      </rPr>
      <t>산출물</t>
    </r>
    <r>
      <rPr>
        <sz val="9"/>
        <color theme="1"/>
        <rFont val="Calibri"/>
        <family val="2"/>
      </rPr>
      <t xml:space="preserve"> </t>
    </r>
    <r>
      <rPr>
        <sz val="9"/>
        <color theme="1"/>
        <rFont val="맑은 고딕"/>
        <family val="3"/>
        <charset val="129"/>
      </rPr>
      <t>폴더</t>
    </r>
    <r>
      <rPr>
        <sz val="9"/>
        <color theme="1"/>
        <rFont val="Calibri"/>
        <family val="2"/>
      </rPr>
      <t xml:space="preserve"> </t>
    </r>
    <r>
      <rPr>
        <sz val="9"/>
        <color theme="1"/>
        <rFont val="맑은 고딕"/>
        <family val="3"/>
        <charset val="129"/>
      </rPr>
      <t>열기</t>
    </r>
  </si>
  <si>
    <r>
      <rPr>
        <sz val="9"/>
        <color theme="1"/>
        <rFont val="맑은 고딕"/>
        <family val="3"/>
        <charset val="129"/>
      </rPr>
      <t>옵션</t>
    </r>
  </si>
  <si>
    <r>
      <rPr>
        <sz val="9"/>
        <color theme="1"/>
        <rFont val="맑은 고딕"/>
        <family val="3"/>
        <charset val="129"/>
      </rPr>
      <t>작업레벨</t>
    </r>
    <r>
      <rPr>
        <sz val="9"/>
        <color theme="1"/>
        <rFont val="Calibri"/>
        <family val="2"/>
      </rPr>
      <t xml:space="preserve"> </t>
    </r>
    <r>
      <rPr>
        <sz val="9"/>
        <color theme="1"/>
        <rFont val="맑은 고딕"/>
        <family val="3"/>
        <charset val="129"/>
      </rPr>
      <t>올림</t>
    </r>
  </si>
  <si>
    <r>
      <rPr>
        <sz val="9"/>
        <color theme="1"/>
        <rFont val="맑은 고딕"/>
        <family val="3"/>
        <charset val="129"/>
      </rPr>
      <t>개요수준</t>
    </r>
  </si>
  <si>
    <r>
      <rPr>
        <sz val="9"/>
        <color theme="1"/>
        <rFont val="맑은 고딕"/>
        <family val="3"/>
        <charset val="129"/>
      </rPr>
      <t>퍼센트</t>
    </r>
    <r>
      <rPr>
        <sz val="9"/>
        <color theme="1"/>
        <rFont val="Calibri"/>
        <family val="2"/>
      </rPr>
      <t xml:space="preserve"> </t>
    </r>
    <r>
      <rPr>
        <sz val="9"/>
        <color theme="1"/>
        <rFont val="맑은 고딕"/>
        <family val="3"/>
        <charset val="129"/>
      </rPr>
      <t>지정</t>
    </r>
  </si>
  <si>
    <r>
      <rPr>
        <sz val="9"/>
        <color theme="1"/>
        <rFont val="맑은 고딕"/>
        <family val="3"/>
        <charset val="129"/>
      </rPr>
      <t>날짜</t>
    </r>
    <r>
      <rPr>
        <sz val="9"/>
        <color theme="1"/>
        <rFont val="Calibri"/>
        <family val="2"/>
      </rPr>
      <t xml:space="preserve"> </t>
    </r>
    <r>
      <rPr>
        <sz val="9"/>
        <color theme="1"/>
        <rFont val="맑은 고딕"/>
        <family val="3"/>
        <charset val="129"/>
      </rPr>
      <t>선택</t>
    </r>
  </si>
  <si>
    <r>
      <rPr>
        <sz val="9"/>
        <color theme="1"/>
        <rFont val="맑은 고딕"/>
        <family val="3"/>
        <charset val="129"/>
      </rPr>
      <t>계획</t>
    </r>
    <phoneticPr fontId="1" type="noConversion"/>
  </si>
  <si>
    <r>
      <rPr>
        <sz val="9"/>
        <color theme="1"/>
        <rFont val="맑은 고딕"/>
        <family val="3"/>
        <charset val="129"/>
      </rPr>
      <t>계획진척율</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</si>
  <si>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phoneticPr fontId="1" type="noConversion"/>
  </si>
  <si>
    <r>
      <rPr>
        <sz val="9"/>
        <color theme="1"/>
        <rFont val="맑은 고딕"/>
        <family val="3"/>
        <charset val="129"/>
      </rPr>
      <t>현재날짜까지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계획진척율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</si>
  <si>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계획</t>
    </r>
    <r>
      <rPr>
        <sz val="9"/>
        <color theme="1"/>
        <rFont val="Calibri"/>
        <family val="2"/>
      </rPr>
      <t xml:space="preserve"> </t>
    </r>
    <r>
      <rPr>
        <sz val="9"/>
        <color theme="1"/>
        <rFont val="맑은 고딕"/>
        <family val="3"/>
        <charset val="129"/>
      </rPr>
      <t>진척율</t>
    </r>
    <r>
      <rPr>
        <sz val="9"/>
        <color theme="1"/>
        <rFont val="Calibri"/>
        <family val="2"/>
      </rPr>
      <t>(A)</t>
    </r>
  </si>
  <si>
    <r>
      <rPr>
        <sz val="9"/>
        <color theme="1"/>
        <rFont val="맑은 고딕"/>
        <family val="3"/>
        <charset val="129"/>
      </rPr>
      <t>계획</t>
    </r>
    <r>
      <rPr>
        <sz val="9"/>
        <color theme="1"/>
        <rFont val="Calibri"/>
        <family val="2"/>
      </rPr>
      <t>(B/A)</t>
    </r>
  </si>
  <si>
    <r>
      <rPr>
        <sz val="9"/>
        <color theme="1"/>
        <rFont val="맑은 고딕"/>
        <family val="3"/>
        <charset val="129"/>
      </rPr>
      <t>계획기간</t>
    </r>
  </si>
  <si>
    <r>
      <rPr>
        <sz val="9"/>
        <color theme="1"/>
        <rFont val="맑은 고딕"/>
        <family val="3"/>
        <charset val="129"/>
      </rPr>
      <t>계획진척율</t>
    </r>
  </si>
  <si>
    <r>
      <rPr>
        <sz val="9"/>
        <color theme="1"/>
        <rFont val="맑은 고딕"/>
        <family val="3"/>
        <charset val="129"/>
      </rPr>
      <t>계획작업량</t>
    </r>
  </si>
  <si>
    <r>
      <rPr>
        <sz val="9"/>
        <color theme="1"/>
        <rFont val="맑은 고딕"/>
        <family val="3"/>
        <charset val="129"/>
      </rPr>
      <t>계획작업량</t>
    </r>
    <r>
      <rPr>
        <sz val="9"/>
        <color theme="1"/>
        <rFont val="Calibri"/>
        <family val="2"/>
      </rPr>
      <t>(B)\nMan-day</t>
    </r>
  </si>
  <si>
    <r>
      <rPr>
        <sz val="9"/>
        <color theme="1"/>
        <rFont val="맑은 고딕"/>
        <family val="3"/>
        <charset val="129"/>
      </rPr>
      <t>계획</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현재일까지</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</si>
  <si>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현재일까지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작업량</t>
    </r>
  </si>
  <si>
    <r>
      <rPr>
        <sz val="9"/>
        <color theme="1"/>
        <rFont val="맑은 고딕"/>
        <family val="3"/>
        <charset val="129"/>
      </rPr>
      <t>계획작업량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</si>
  <si>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해당작업의</t>
    </r>
    <r>
      <rPr>
        <sz val="9"/>
        <color theme="1"/>
        <rFont val="Calibri"/>
        <family val="2"/>
      </rPr>
      <t xml:space="preserve"> </t>
    </r>
    <r>
      <rPr>
        <sz val="9"/>
        <color theme="1"/>
        <rFont val="맑은 고딕"/>
        <family val="3"/>
        <charset val="129"/>
      </rPr>
      <t>시작일부터</t>
    </r>
    <r>
      <rPr>
        <sz val="9"/>
        <color theme="1"/>
        <rFont val="Calibri"/>
        <family val="2"/>
      </rPr>
      <t xml:space="preserve"> </t>
    </r>
    <r>
      <rPr>
        <sz val="9"/>
        <color theme="1"/>
        <rFont val="맑은 고딕"/>
        <family val="3"/>
        <charset val="129"/>
      </rPr>
      <t>현재일까지의</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의미함</t>
    </r>
    <r>
      <rPr>
        <sz val="9"/>
        <color theme="1"/>
        <rFont val="Calibri"/>
        <family val="2"/>
      </rPr>
      <t>(</t>
    </r>
    <r>
      <rPr>
        <sz val="9"/>
        <color theme="1"/>
        <rFont val="맑은 고딕"/>
        <family val="3"/>
        <charset val="129"/>
      </rPr>
      <t>현재</t>
    </r>
    <r>
      <rPr>
        <sz val="9"/>
        <color theme="1"/>
        <rFont val="Calibri"/>
        <family val="2"/>
      </rPr>
      <t xml:space="preserve"> </t>
    </r>
    <r>
      <rPr>
        <sz val="9"/>
        <color theme="1"/>
        <rFont val="맑은 고딕"/>
        <family val="3"/>
        <charset val="129"/>
      </rPr>
      <t>날짜까지</t>
    </r>
    <r>
      <rPr>
        <sz val="9"/>
        <color theme="1"/>
        <rFont val="Calibri"/>
        <family val="2"/>
      </rPr>
      <t xml:space="preserve"> </t>
    </r>
    <r>
      <rPr>
        <sz val="9"/>
        <color theme="1"/>
        <rFont val="맑은 고딕"/>
        <family val="3"/>
        <charset val="129"/>
      </rPr>
      <t>진행되었어야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기간</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</si>
  <si>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</si>
  <si>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계획작업량</t>
    </r>
    <r>
      <rPr>
        <sz val="9"/>
        <color theme="1"/>
        <rFont val="Calibri"/>
        <family val="2"/>
      </rPr>
      <t>(Man-Day)</t>
    </r>
    <phoneticPr fontId="1" type="noConversion"/>
  </si>
  <si>
    <r>
      <rPr>
        <sz val="9"/>
        <color theme="1"/>
        <rFont val="맑은 고딕"/>
        <family val="3"/>
        <charset val="129"/>
      </rPr>
      <t>계획</t>
    </r>
  </si>
  <si>
    <r>
      <rPr>
        <sz val="9"/>
        <color theme="1"/>
        <rFont val="맑은 고딕"/>
        <family val="3"/>
        <charset val="129"/>
      </rPr>
      <t>계획</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</si>
  <si>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계획</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</si>
  <si>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계획</t>
    </r>
    <r>
      <rPr>
        <sz val="9"/>
        <color theme="1"/>
        <rFont val="Calibri"/>
        <family val="2"/>
      </rPr>
      <t>\n</t>
    </r>
    <r>
      <rPr>
        <sz val="9"/>
        <color theme="1"/>
        <rFont val="맑은 고딕"/>
        <family val="3"/>
        <charset val="129"/>
      </rPr>
      <t>기간</t>
    </r>
  </si>
  <si>
    <r>
      <rPr>
        <sz val="9"/>
        <color theme="1"/>
        <rFont val="맑은 고딕"/>
        <family val="3"/>
        <charset val="129"/>
      </rPr>
      <t>계획</t>
    </r>
    <r>
      <rPr>
        <sz val="9"/>
        <color theme="1"/>
        <rFont val="Calibri"/>
        <family val="2"/>
      </rPr>
      <t>\n</t>
    </r>
    <r>
      <rPr>
        <sz val="9"/>
        <color theme="1"/>
        <rFont val="맑은 고딕"/>
        <family val="3"/>
        <charset val="129"/>
      </rPr>
      <t>작업량</t>
    </r>
  </si>
  <si>
    <r>
      <rPr>
        <sz val="9"/>
        <color theme="1"/>
        <rFont val="맑은 고딕"/>
        <family val="3"/>
        <charset val="129"/>
      </rPr>
      <t>작업필드의</t>
    </r>
    <r>
      <rPr>
        <sz val="9"/>
        <color theme="1"/>
        <rFont val="Calibri"/>
        <family val="2"/>
      </rPr>
      <t xml:space="preserve"> </t>
    </r>
    <r>
      <rPr>
        <sz val="9"/>
        <color theme="1"/>
        <rFont val="맑은 고딕"/>
        <family val="3"/>
        <charset val="129"/>
      </rPr>
      <t>유형을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</si>
  <si>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확장자명을</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</si>
  <si>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산출물이</t>
    </r>
    <r>
      <rPr>
        <sz val="9"/>
        <color theme="1"/>
        <rFont val="Calibri"/>
        <family val="2"/>
      </rPr>
      <t xml:space="preserve"> </t>
    </r>
    <r>
      <rPr>
        <sz val="9"/>
        <color theme="1"/>
        <rFont val="맑은 고딕"/>
        <family val="3"/>
        <charset val="129"/>
      </rPr>
      <t>저장될</t>
    </r>
    <r>
      <rPr>
        <sz val="9"/>
        <color theme="1"/>
        <rFont val="Calibri"/>
        <family val="2"/>
      </rPr>
      <t xml:space="preserve"> </t>
    </r>
    <r>
      <rPr>
        <sz val="9"/>
        <color theme="1"/>
        <rFont val="맑은 고딕"/>
        <family val="3"/>
        <charset val="129"/>
      </rPr>
      <t>특정경로를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</si>
  <si>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</si>
  <si>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이</t>
    </r>
    <r>
      <rPr>
        <sz val="9"/>
        <color theme="1"/>
        <rFont val="Calibri"/>
        <family val="2"/>
      </rPr>
      <t xml:space="preserve"> Sheet</t>
    </r>
    <r>
      <rPr>
        <sz val="9"/>
        <color theme="1"/>
        <rFont val="맑은 고딕"/>
        <family val="3"/>
        <charset val="129"/>
      </rPr>
      <t>에서</t>
    </r>
    <r>
      <rPr>
        <sz val="9"/>
        <color theme="1"/>
        <rFont val="Calibri"/>
        <family val="2"/>
      </rPr>
      <t xml:space="preserve"> </t>
    </r>
    <r>
      <rPr>
        <sz val="9"/>
        <color theme="1"/>
        <rFont val="맑은 고딕"/>
        <family val="3"/>
        <charset val="129"/>
      </rPr>
      <t>프로젝트</t>
    </r>
    <r>
      <rPr>
        <sz val="9"/>
        <color theme="1"/>
        <rFont val="Calibri"/>
        <family val="2"/>
      </rPr>
      <t xml:space="preserve"> Calendar</t>
    </r>
    <r>
      <rPr>
        <sz val="9"/>
        <color theme="1"/>
        <rFont val="맑은 고딕"/>
        <family val="3"/>
        <charset val="129"/>
      </rPr>
      <t>를</t>
    </r>
    <r>
      <rPr>
        <sz val="9"/>
        <color theme="1"/>
        <rFont val="Calibri"/>
        <family val="2"/>
      </rPr>
      <t xml:space="preserve"> </t>
    </r>
    <r>
      <rPr>
        <sz val="9"/>
        <color theme="1"/>
        <rFont val="맑은 고딕"/>
        <family val="3"/>
        <charset val="129"/>
      </rPr>
      <t>설정하세요</t>
    </r>
    <r>
      <rPr>
        <sz val="9"/>
        <color theme="1"/>
        <rFont val="Calibri"/>
        <family val="2"/>
      </rPr>
      <t>.</t>
    </r>
  </si>
  <si>
    <r>
      <rPr>
        <sz val="9"/>
        <color theme="1"/>
        <rFont val="맑은 고딕"/>
        <family val="3"/>
        <charset val="129"/>
      </rPr>
      <t>양수이면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t>
    </r>
    <r>
      <rPr>
        <sz val="9"/>
        <color theme="1"/>
        <rFont val="Calibri"/>
        <family val="2"/>
      </rPr>
      <t xml:space="preserve">, </t>
    </r>
    <r>
      <rPr>
        <sz val="9"/>
        <color theme="1"/>
        <rFont val="맑은 고딕"/>
        <family val="3"/>
        <charset val="129"/>
      </rPr>
      <t>음수이면</t>
    </r>
    <r>
      <rPr>
        <sz val="9"/>
        <color theme="1"/>
        <rFont val="Calibri"/>
        <family val="2"/>
      </rPr>
      <t xml:space="preserve"> </t>
    </r>
    <r>
      <rPr>
        <sz val="9"/>
        <color theme="1"/>
        <rFont val="맑은 고딕"/>
        <family val="3"/>
        <charset val="129"/>
      </rPr>
      <t>지연</t>
    </r>
  </si>
  <si>
    <r>
      <rPr>
        <sz val="9"/>
        <color theme="1"/>
        <rFont val="맑은 고딕"/>
        <family val="3"/>
        <charset val="129"/>
      </rPr>
      <t>파워포인트</t>
    </r>
  </si>
  <si>
    <r>
      <rPr>
        <sz val="9"/>
        <color theme="1"/>
        <rFont val="맑은 고딕"/>
        <family val="3"/>
        <charset val="129"/>
      </rPr>
      <t>프로그램</t>
    </r>
    <r>
      <rPr>
        <sz val="9"/>
        <color theme="1"/>
        <rFont val="Calibri"/>
        <family val="2"/>
      </rPr>
      <t xml:space="preserve"> </t>
    </r>
    <r>
      <rPr>
        <sz val="9"/>
        <color theme="1"/>
        <rFont val="맑은 고딕"/>
        <family val="3"/>
        <charset val="129"/>
      </rPr>
      <t>정보</t>
    </r>
  </si>
  <si>
    <r>
      <rPr>
        <sz val="9"/>
        <color theme="1"/>
        <rFont val="맑은 고딕"/>
        <family val="3"/>
        <charset val="129"/>
      </rPr>
      <t>프로그램명</t>
    </r>
  </si>
  <si>
    <r>
      <rPr>
        <sz val="9"/>
        <color theme="1"/>
        <rFont val="맑은 고딕"/>
        <family val="3"/>
        <charset val="129"/>
      </rPr>
      <t>프로그램</t>
    </r>
    <r>
      <rPr>
        <sz val="9"/>
        <color theme="1"/>
        <rFont val="Calibri"/>
        <family val="2"/>
      </rPr>
      <t xml:space="preserve"> </t>
    </r>
    <r>
      <rPr>
        <sz val="9"/>
        <color theme="1"/>
        <rFont val="맑은 고딕"/>
        <family val="3"/>
        <charset val="129"/>
      </rPr>
      <t>사이트</t>
    </r>
  </si>
  <si>
    <r>
      <rPr>
        <sz val="9"/>
        <color theme="1"/>
        <rFont val="맑은 고딕"/>
        <family val="3"/>
        <charset val="129"/>
      </rPr>
      <t>진척율</t>
    </r>
  </si>
  <si>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</si>
  <si>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</si>
  <si>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담당별</t>
    </r>
    <r>
      <rPr>
        <sz val="9"/>
        <color theme="1"/>
        <rFont val="Calibri"/>
        <family val="2"/>
      </rPr>
      <t>\n</t>
    </r>
    <r>
      <rPr>
        <sz val="9"/>
        <color theme="1"/>
        <rFont val="맑은 고딕"/>
        <family val="3"/>
        <charset val="129"/>
      </rPr>
      <t>진행율</t>
    </r>
    <phoneticPr fontId="1" type="noConversion"/>
  </si>
  <si>
    <r>
      <rPr>
        <sz val="9"/>
        <color theme="1"/>
        <rFont val="맑은 고딕"/>
        <family val="3"/>
        <charset val="129"/>
      </rPr>
      <t>프로젝트수행계획서</t>
    </r>
  </si>
  <si>
    <r>
      <rPr>
        <sz val="9"/>
        <color theme="1"/>
        <rFont val="맑은 고딕"/>
        <family val="3"/>
        <charset val="129"/>
      </rPr>
      <t>프로젝트</t>
    </r>
    <r>
      <rPr>
        <sz val="9"/>
        <color theme="1"/>
        <rFont val="Calibri"/>
        <family val="2"/>
      </rPr>
      <t xml:space="preserve"> </t>
    </r>
    <r>
      <rPr>
        <sz val="9"/>
        <color theme="1"/>
        <rFont val="맑은 고딕"/>
        <family val="3"/>
        <charset val="129"/>
      </rPr>
      <t>정보</t>
    </r>
  </si>
  <si>
    <r>
      <rPr>
        <sz val="9"/>
        <color theme="1"/>
        <rFont val="맑은 고딕"/>
        <family val="3"/>
        <charset val="129"/>
      </rPr>
      <t>프로젝트명</t>
    </r>
  </si>
  <si>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관리할때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</si>
  <si>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않을때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</si>
  <si>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</si>
  <si>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</si>
  <si>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프로젝트의</t>
    </r>
    <r>
      <rPr>
        <sz val="9"/>
        <color theme="1"/>
        <rFont val="Calibri"/>
        <family val="2"/>
      </rPr>
      <t xml:space="preserve"> </t>
    </r>
    <r>
      <rPr>
        <sz val="9"/>
        <color theme="1"/>
        <rFont val="맑은 고딕"/>
        <family val="3"/>
        <charset val="129"/>
      </rPr>
      <t>현황을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진행율</t>
    </r>
    <r>
      <rPr>
        <sz val="9"/>
        <color theme="1"/>
        <rFont val="Calibri"/>
        <family val="2"/>
      </rPr>
      <t xml:space="preserve">, Workload </t>
    </r>
    <r>
      <rPr>
        <sz val="9"/>
        <color theme="1"/>
        <rFont val="맑은 고딕"/>
        <family val="3"/>
        <charset val="129"/>
      </rPr>
      <t>등의</t>
    </r>
    <r>
      <rPr>
        <sz val="9"/>
        <color theme="1"/>
        <rFont val="Calibri"/>
        <family val="2"/>
      </rPr>
      <t xml:space="preserve"> </t>
    </r>
    <r>
      <rPr>
        <sz val="9"/>
        <color theme="1"/>
        <rFont val="맑은 고딕"/>
        <family val="3"/>
        <charset val="129"/>
      </rPr>
      <t>분석</t>
    </r>
    <r>
      <rPr>
        <sz val="9"/>
        <color theme="1"/>
        <rFont val="Calibri"/>
        <family val="2"/>
      </rPr>
      <t xml:space="preserve"> </t>
    </r>
    <r>
      <rPr>
        <sz val="9"/>
        <color theme="1"/>
        <rFont val="맑은 고딕"/>
        <family val="3"/>
        <charset val="129"/>
      </rPr>
      <t>리포트와</t>
    </r>
    <r>
      <rPr>
        <sz val="9"/>
        <color theme="1"/>
        <rFont val="Calibri"/>
        <family val="2"/>
      </rPr>
      <t xml:space="preserve"> </t>
    </r>
    <r>
      <rPr>
        <sz val="9"/>
        <color theme="1"/>
        <rFont val="맑은 고딕"/>
        <family val="3"/>
        <charset val="129"/>
      </rPr>
      <t>분석용</t>
    </r>
    <r>
      <rPr>
        <sz val="9"/>
        <color theme="1"/>
        <rFont val="Calibri"/>
        <family val="2"/>
      </rPr>
      <t xml:space="preserve"> Workload data</t>
    </r>
    <r>
      <rPr>
        <sz val="9"/>
        <color theme="1"/>
        <rFont val="맑은 고딕"/>
        <family val="3"/>
        <charset val="129"/>
      </rPr>
      <t>를</t>
    </r>
    <r>
      <rPr>
        <sz val="9"/>
        <color theme="1"/>
        <rFont val="Calibri"/>
        <family val="2"/>
      </rPr>
      <t xml:space="preserve"> </t>
    </r>
    <r>
      <rPr>
        <sz val="9"/>
        <color theme="1"/>
        <rFont val="맑은 고딕"/>
        <family val="3"/>
        <charset val="129"/>
      </rPr>
      <t>제공한다</t>
    </r>
    <r>
      <rPr>
        <sz val="9"/>
        <color theme="1"/>
        <rFont val="Calibri"/>
        <family val="2"/>
      </rPr>
      <t>.</t>
    </r>
    <phoneticPr fontId="1" type="noConversion"/>
  </si>
  <si>
    <r>
      <rPr>
        <sz val="9"/>
        <color theme="1"/>
        <rFont val="맑은 고딕"/>
        <family val="3"/>
        <charset val="129"/>
      </rPr>
      <t>퍼플</t>
    </r>
    <phoneticPr fontId="1" type="noConversion"/>
  </si>
  <si>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phoneticPr fontId="1" type="noConversion"/>
  </si>
  <si>
    <r>
      <rPr>
        <sz val="9"/>
        <color theme="1"/>
        <rFont val="맑은 고딕"/>
        <family val="3"/>
        <charset val="129"/>
      </rPr>
      <t>서식</t>
    </r>
    <r>
      <rPr>
        <sz val="9"/>
        <color theme="1"/>
        <rFont val="Calibri"/>
        <family val="2"/>
      </rPr>
      <t>\n</t>
    </r>
    <r>
      <rPr>
        <sz val="9"/>
        <color theme="1"/>
        <rFont val="맑은 고딕"/>
        <family val="3"/>
        <charset val="129"/>
      </rPr>
      <t>재설정</t>
    </r>
    <phoneticPr fontId="1" type="noConversion"/>
  </si>
  <si>
    <r>
      <rPr>
        <sz val="9"/>
        <color theme="1"/>
        <rFont val="맑은 고딕"/>
        <family val="3"/>
        <charset val="129"/>
      </rPr>
      <t>컴퓨터</t>
    </r>
    <r>
      <rPr>
        <sz val="9"/>
        <color theme="1"/>
        <rFont val="Calibri"/>
        <family val="2"/>
      </rPr>
      <t xml:space="preserve"> O/S</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표시할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_x000D_
</t>
    </r>
    <r>
      <rPr>
        <sz val="9"/>
        <color theme="1"/>
        <rFont val="맑은 고딕"/>
        <family val="3"/>
        <charset val="129"/>
      </rPr>
      <t>있습니다</t>
    </r>
    <r>
      <rPr>
        <sz val="9"/>
        <color theme="1"/>
        <rFont val="Calibri"/>
        <family val="2"/>
      </rPr>
      <t>.</t>
    </r>
  </si>
  <si>
    <r>
      <rPr>
        <sz val="9"/>
        <color theme="1"/>
        <rFont val="맑은 고딕"/>
        <family val="3"/>
        <charset val="129"/>
      </rPr>
      <t>릴리즈</t>
    </r>
    <r>
      <rPr>
        <sz val="9"/>
        <color theme="1"/>
        <rFont val="Calibri"/>
        <family val="2"/>
      </rPr>
      <t xml:space="preserve"> </t>
    </r>
    <r>
      <rPr>
        <sz val="9"/>
        <color theme="1"/>
        <rFont val="맑은 고딕"/>
        <family val="3"/>
        <charset val="129"/>
      </rPr>
      <t>일자</t>
    </r>
  </si>
  <si>
    <r>
      <rPr>
        <sz val="9"/>
        <color theme="1"/>
        <rFont val="맑은 고딕"/>
        <family val="3"/>
        <charset val="129"/>
      </rPr>
      <t>자원배정비율</t>
    </r>
    <phoneticPr fontId="1" type="noConversion"/>
  </si>
  <si>
    <r>
      <rPr>
        <sz val="9"/>
        <color theme="1"/>
        <rFont val="맑은 고딕"/>
        <family val="3"/>
        <charset val="129"/>
      </rPr>
      <t>자원</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담당자</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해당</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담당자를</t>
    </r>
    <r>
      <rPr>
        <sz val="9"/>
        <color theme="1"/>
        <rFont val="Calibri"/>
        <family val="2"/>
      </rPr>
      <t xml:space="preserve"> </t>
    </r>
    <r>
      <rPr>
        <sz val="9"/>
        <color theme="1"/>
        <rFont val="맑은 고딕"/>
        <family val="3"/>
        <charset val="129"/>
      </rPr>
      <t>표시합니다</t>
    </r>
  </si>
  <si>
    <r>
      <t xml:space="preserve">Chart </t>
    </r>
    <r>
      <rPr>
        <sz val="9"/>
        <color theme="1"/>
        <rFont val="맑은 고딕"/>
        <family val="3"/>
        <charset val="129"/>
      </rPr>
      <t>오른쪽</t>
    </r>
  </si>
  <si>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행수</t>
    </r>
    <r>
      <rPr>
        <sz val="9"/>
        <color theme="1"/>
        <rFont val="Calibri"/>
        <family val="2"/>
      </rPr>
      <t xml:space="preserve"> : </t>
    </r>
  </si>
  <si>
    <r>
      <t>File</t>
    </r>
    <r>
      <rPr>
        <sz val="9"/>
        <color theme="1"/>
        <rFont val="맑은 고딕"/>
        <family val="3"/>
        <charset val="129"/>
      </rPr>
      <t>저장시</t>
    </r>
    <r>
      <rPr>
        <sz val="9"/>
        <color theme="1"/>
        <rFont val="Calibri"/>
        <family val="2"/>
      </rPr>
      <t xml:space="preserve"> "</t>
    </r>
    <r>
      <rPr>
        <sz val="9"/>
        <color theme="1"/>
        <rFont val="맑은 고딕"/>
        <family val="3"/>
        <charset val="129"/>
      </rPr>
      <t>스케줄업데이트</t>
    </r>
    <r>
      <rPr>
        <sz val="9"/>
        <color theme="1"/>
        <rFont val="Calibri"/>
        <family val="2"/>
      </rPr>
      <t xml:space="preserve">" </t>
    </r>
    <r>
      <rPr>
        <sz val="9"/>
        <color theme="1"/>
        <rFont val="맑은 고딕"/>
        <family val="3"/>
        <charset val="129"/>
      </rPr>
      <t>실행</t>
    </r>
    <phoneticPr fontId="1" type="noConversion"/>
  </si>
  <si>
    <r>
      <rPr>
        <sz val="9"/>
        <color theme="1"/>
        <rFont val="맑은 고딕"/>
        <family val="3"/>
        <charset val="129"/>
      </rPr>
      <t>토</t>
    </r>
  </si>
  <si>
    <r>
      <rPr>
        <sz val="9"/>
        <color theme="1"/>
        <rFont val="맑은 고딕"/>
        <family val="3"/>
        <charset val="129"/>
      </rPr>
      <t>저장</t>
    </r>
  </si>
  <si>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</si>
  <si>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완료되었습니다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</si>
  <si>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실적</t>
    </r>
    <r>
      <rPr>
        <sz val="9"/>
        <color theme="1"/>
        <rFont val="Calibri"/>
        <family val="2"/>
      </rPr>
      <t xml:space="preserve"> </t>
    </r>
    <r>
      <rPr>
        <sz val="9"/>
        <color theme="1"/>
        <rFont val="맑은 고딕"/>
        <family val="3"/>
        <charset val="129"/>
      </rPr>
      <t>차이</t>
    </r>
    <phoneticPr fontId="1" type="noConversion"/>
  </si>
  <si>
    <r>
      <rPr>
        <sz val="9"/>
        <color theme="1"/>
        <rFont val="맑은 고딕"/>
        <family val="3"/>
        <charset val="129"/>
      </rPr>
      <t>차이</t>
    </r>
    <r>
      <rPr>
        <sz val="9"/>
        <color theme="1"/>
        <rFont val="Calibri"/>
        <family val="2"/>
      </rPr>
      <t>(B-A)</t>
    </r>
  </si>
  <si>
    <r>
      <rPr>
        <sz val="9"/>
        <color theme="1"/>
        <rFont val="맑은 고딕"/>
        <family val="3"/>
        <charset val="129"/>
      </rPr>
      <t>가져올</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선택하세요</t>
    </r>
    <r>
      <rPr>
        <sz val="9"/>
        <color theme="1"/>
        <rFont val="Calibri"/>
        <family val="2"/>
      </rPr>
      <t>(</t>
    </r>
    <r>
      <rPr>
        <sz val="9"/>
        <color theme="1"/>
        <rFont val="맑은 고딕"/>
        <family val="3"/>
        <charset val="129"/>
      </rPr>
      <t>다중선택가능</t>
    </r>
    <r>
      <rPr>
        <sz val="9"/>
        <color theme="1"/>
        <rFont val="Calibri"/>
        <family val="2"/>
      </rPr>
      <t>)</t>
    </r>
  </si>
  <si>
    <r>
      <t>Task</t>
    </r>
    <r>
      <rPr>
        <sz val="9"/>
        <color theme="1"/>
        <rFont val="맑은 고딕"/>
        <family val="3"/>
        <charset val="129"/>
      </rPr>
      <t>의</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기간으로</t>
    </r>
    <r>
      <rPr>
        <sz val="9"/>
        <color theme="1"/>
        <rFont val="Calibri"/>
        <family val="2"/>
      </rPr>
      <t xml:space="preserve"> </t>
    </r>
    <r>
      <rPr>
        <sz val="9"/>
        <color theme="1"/>
        <rFont val="맑은 고딕"/>
        <family val="3"/>
        <charset val="129"/>
      </rPr>
      <t>자동설정</t>
    </r>
  </si>
  <si>
    <r>
      <rPr>
        <sz val="9"/>
        <color theme="1"/>
        <rFont val="맑은 고딕"/>
        <family val="3"/>
        <charset val="129"/>
      </rPr>
      <t>작업명으로</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자동지정된</t>
    </r>
    <r>
      <rPr>
        <sz val="9"/>
        <color theme="1"/>
        <rFont val="Calibri"/>
        <family val="2"/>
      </rPr>
      <t xml:space="preserve"> </t>
    </r>
    <r>
      <rPr>
        <sz val="9"/>
        <color theme="1"/>
        <rFont val="맑은 고딕"/>
        <family val="3"/>
        <charset val="129"/>
      </rPr>
      <t>경로의</t>
    </r>
    <r>
      <rPr>
        <sz val="9"/>
        <color theme="1"/>
        <rFont val="Calibri"/>
        <family val="2"/>
      </rPr>
      <t xml:space="preserve"> </t>
    </r>
    <r>
      <rPr>
        <sz val="9"/>
        <color theme="1"/>
        <rFont val="맑은 고딕"/>
        <family val="3"/>
        <charset val="129"/>
      </rPr>
      <t>상위경로를</t>
    </r>
    <r>
      <rPr>
        <sz val="9"/>
        <color theme="1"/>
        <rFont val="Calibri"/>
        <family val="2"/>
      </rPr>
      <t xml:space="preserve"> </t>
    </r>
    <r>
      <rPr>
        <sz val="9"/>
        <color theme="1"/>
        <rFont val="맑은 고딕"/>
        <family val="3"/>
        <charset val="129"/>
      </rPr>
      <t>입력</t>
    </r>
    <r>
      <rPr>
        <sz val="9"/>
        <color theme="1"/>
        <rFont val="Calibri"/>
        <family val="2"/>
      </rPr>
      <t xml:space="preserve">) </t>
    </r>
  </si>
  <si>
    <r>
      <rPr>
        <sz val="9"/>
        <color theme="1"/>
        <rFont val="맑은 고딕"/>
        <family val="3"/>
        <charset val="129"/>
      </rPr>
      <t>산출물열기</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r>
      <rPr>
        <sz val="9"/>
        <color theme="1"/>
        <rFont val="Calibri"/>
        <family val="2"/>
      </rPr>
      <t xml:space="preserve"> </t>
    </r>
    <r>
      <rPr>
        <sz val="9"/>
        <color theme="1"/>
        <rFont val="맑은 고딕"/>
        <family val="3"/>
        <charset val="129"/>
      </rPr>
      <t>지정</t>
    </r>
  </si>
  <si>
    <r>
      <rPr>
        <sz val="9"/>
        <color theme="1"/>
        <rFont val="맑은 고딕"/>
        <family val="3"/>
        <charset val="129"/>
      </rPr>
      <t>산출물</t>
    </r>
    <r>
      <rPr>
        <sz val="9"/>
        <color theme="1"/>
        <rFont val="Calibri"/>
        <family val="2"/>
      </rPr>
      <t xml:space="preserve"> </t>
    </r>
    <r>
      <rPr>
        <sz val="9"/>
        <color theme="1"/>
        <rFont val="맑은 고딕"/>
        <family val="3"/>
        <charset val="129"/>
      </rPr>
      <t>저장경로</t>
    </r>
  </si>
  <si>
    <r>
      <rPr>
        <sz val="9"/>
        <color theme="1"/>
        <rFont val="맑은 고딕"/>
        <family val="3"/>
        <charset val="129"/>
      </rPr>
      <t>프로젝트의</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설정한다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</si>
  <si>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표시방법</t>
    </r>
    <r>
      <rPr>
        <sz val="9"/>
        <color theme="1"/>
        <rFont val="Calibri"/>
        <family val="2"/>
      </rPr>
      <t xml:space="preserve"> </t>
    </r>
    <r>
      <rPr>
        <sz val="9"/>
        <color theme="1"/>
        <rFont val="맑은 고딕"/>
        <family val="3"/>
        <charset val="129"/>
      </rPr>
      <t>설정</t>
    </r>
  </si>
  <si>
    <r>
      <rPr>
        <sz val="9"/>
        <color theme="1"/>
        <rFont val="맑은 고딕"/>
        <family val="3"/>
        <charset val="129"/>
      </rPr>
      <t>설정</t>
    </r>
  </si>
  <si>
    <r>
      <rPr>
        <sz val="9"/>
        <color theme="1"/>
        <rFont val="맑은 고딕"/>
        <family val="3"/>
        <charset val="129"/>
      </rPr>
      <t>시트</t>
    </r>
    <r>
      <rPr>
        <sz val="9"/>
        <color theme="1"/>
        <rFont val="Calibri"/>
        <family val="2"/>
      </rPr>
      <t xml:space="preserve"> </t>
    </r>
    <r>
      <rPr>
        <sz val="9"/>
        <color theme="1"/>
        <rFont val="맑은 고딕"/>
        <family val="3"/>
        <charset val="129"/>
      </rPr>
      <t>구성</t>
    </r>
    <phoneticPr fontId="1" type="noConversion"/>
  </si>
  <si>
    <r>
      <rPr>
        <sz val="9"/>
        <color theme="1"/>
        <rFont val="맑은 고딕"/>
        <family val="3"/>
        <charset val="129"/>
      </rPr>
      <t>담당별</t>
    </r>
    <r>
      <rPr>
        <sz val="9"/>
        <color theme="1"/>
        <rFont val="Calibri"/>
        <family val="2"/>
      </rPr>
      <t xml:space="preserve"> </t>
    </r>
    <r>
      <rPr>
        <sz val="9"/>
        <color theme="1"/>
        <rFont val="맑은 고딕"/>
        <family val="3"/>
        <charset val="129"/>
      </rPr>
      <t>진행율</t>
    </r>
    <r>
      <rPr>
        <sz val="9"/>
        <color theme="1"/>
        <rFont val="Calibri"/>
        <family val="2"/>
      </rPr>
      <t>, Workload</t>
    </r>
    <r>
      <rPr>
        <sz val="9"/>
        <color theme="1"/>
        <rFont val="맑은 고딕"/>
        <family val="3"/>
        <charset val="129"/>
      </rPr>
      <t>등</t>
    </r>
    <r>
      <rPr>
        <sz val="9"/>
        <color theme="1"/>
        <rFont val="Calibri"/>
        <family val="2"/>
      </rPr>
      <t xml:space="preserve"> </t>
    </r>
    <r>
      <rPr>
        <sz val="9"/>
        <color theme="1"/>
        <rFont val="맑은 고딕"/>
        <family val="3"/>
        <charset val="129"/>
      </rPr>
      <t>분석용</t>
    </r>
    <r>
      <rPr>
        <sz val="9"/>
        <color theme="1"/>
        <rFont val="Calibri"/>
        <family val="2"/>
      </rPr>
      <t xml:space="preserve"> Report</t>
    </r>
    <r>
      <rPr>
        <sz val="9"/>
        <color theme="1"/>
        <rFont val="맑은 고딕"/>
        <family val="3"/>
        <charset val="129"/>
      </rPr>
      <t>를</t>
    </r>
    <r>
      <rPr>
        <sz val="9"/>
        <color theme="1"/>
        <rFont val="Calibri"/>
        <family val="2"/>
      </rPr>
      <t xml:space="preserve"> </t>
    </r>
    <r>
      <rPr>
        <sz val="9"/>
        <color theme="1"/>
        <rFont val="맑은 고딕"/>
        <family val="3"/>
        <charset val="129"/>
      </rPr>
      <t>만들어서</t>
    </r>
    <r>
      <rPr>
        <sz val="9"/>
        <color theme="1"/>
        <rFont val="Calibri"/>
        <family val="2"/>
      </rPr>
      <t xml:space="preserve"> </t>
    </r>
    <r>
      <rPr>
        <sz val="9"/>
        <color theme="1"/>
        <rFont val="맑은 고딕"/>
        <family val="3"/>
        <charset val="129"/>
      </rPr>
      <t>보여준다</t>
    </r>
    <r>
      <rPr>
        <sz val="9"/>
        <color theme="1"/>
        <rFont val="Calibri"/>
        <family val="2"/>
      </rPr>
      <t>.</t>
    </r>
  </si>
  <si>
    <r>
      <rPr>
        <sz val="9"/>
        <color theme="1"/>
        <rFont val="맑은 고딕"/>
        <family val="3"/>
        <charset val="129"/>
      </rPr>
      <t>작업량</t>
    </r>
    <r>
      <rPr>
        <sz val="9"/>
        <color theme="1"/>
        <rFont val="Calibri"/>
        <family val="2"/>
      </rPr>
      <t xml:space="preserve">, </t>
    </r>
    <r>
      <rPr>
        <sz val="9"/>
        <color theme="1"/>
        <rFont val="맑은 고딕"/>
        <family val="3"/>
        <charset val="129"/>
      </rPr>
      <t>진척율</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</si>
  <si>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특정날짜</t>
    </r>
  </si>
  <si>
    <r>
      <rPr>
        <sz val="9"/>
        <color theme="1"/>
        <rFont val="맑은 고딕"/>
        <family val="3"/>
        <charset val="129"/>
      </rPr>
      <t>특정</t>
    </r>
    <r>
      <rPr>
        <sz val="9"/>
        <color theme="1"/>
        <rFont val="Calibri"/>
        <family val="2"/>
      </rPr>
      <t xml:space="preserve"> </t>
    </r>
    <r>
      <rPr>
        <sz val="9"/>
        <color theme="1"/>
        <rFont val="맑은 고딕"/>
        <family val="3"/>
        <charset val="129"/>
      </rPr>
      <t>경로</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</si>
  <si>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산출물의</t>
    </r>
    <r>
      <rPr>
        <sz val="9"/>
        <color theme="1"/>
        <rFont val="Calibri"/>
        <family val="2"/>
      </rPr>
      <t xml:space="preserve"> </t>
    </r>
    <r>
      <rPr>
        <sz val="9"/>
        <color theme="1"/>
        <rFont val="맑은 고딕"/>
        <family val="3"/>
        <charset val="129"/>
      </rPr>
      <t>저장</t>
    </r>
    <r>
      <rPr>
        <sz val="9"/>
        <color theme="1"/>
        <rFont val="Calibri"/>
        <family val="2"/>
      </rPr>
      <t xml:space="preserve"> </t>
    </r>
    <r>
      <rPr>
        <sz val="9"/>
        <color theme="1"/>
        <rFont val="맑은 고딕"/>
        <family val="3"/>
        <charset val="129"/>
      </rPr>
      <t>경로</t>
    </r>
    <r>
      <rPr>
        <sz val="9"/>
        <color theme="1"/>
        <rFont val="Calibri"/>
        <family val="2"/>
      </rPr>
      <t>(</t>
    </r>
    <r>
      <rPr>
        <sz val="9"/>
        <color theme="1"/>
        <rFont val="맑은 고딕"/>
        <family val="3"/>
        <charset val="129"/>
      </rPr>
      <t>폴더</t>
    </r>
    <r>
      <rPr>
        <sz val="9"/>
        <color theme="1"/>
        <rFont val="Calibri"/>
        <family val="2"/>
      </rPr>
      <t xml:space="preserve"> </t>
    </r>
    <r>
      <rPr>
        <sz val="9"/>
        <color theme="1"/>
        <rFont val="맑은 고딕"/>
        <family val="3"/>
        <charset val="129"/>
      </rPr>
      <t>위치</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지정하고</t>
    </r>
    <r>
      <rPr>
        <sz val="9"/>
        <color theme="1"/>
        <rFont val="Calibri"/>
        <family val="2"/>
      </rPr>
      <t xml:space="preserve"> Schedule</t>
    </r>
    <r>
      <rPr>
        <sz val="9"/>
        <color theme="1"/>
        <rFont val="맑은 고딕"/>
        <family val="3"/>
        <charset val="129"/>
      </rPr>
      <t>시트에서</t>
    </r>
    <r>
      <rPr>
        <sz val="9"/>
        <color theme="1"/>
        <rFont val="Calibri"/>
        <family val="2"/>
      </rPr>
      <t xml:space="preserve"> </t>
    </r>
    <r>
      <rPr>
        <sz val="9"/>
        <color theme="1"/>
        <rFont val="맑은 고딕"/>
        <family val="3"/>
        <charset val="129"/>
      </rPr>
      <t>바로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t>
    </r>
    <r>
      <rPr>
        <sz val="9"/>
        <color theme="1"/>
        <rFont val="Calibri"/>
        <family val="2"/>
      </rPr>
      <t xml:space="preserve"> </t>
    </r>
    <r>
      <rPr>
        <sz val="9"/>
        <color theme="1"/>
        <rFont val="맑은 고딕"/>
        <family val="3"/>
        <charset val="129"/>
      </rPr>
      <t>메뉴에서</t>
    </r>
    <r>
      <rPr>
        <sz val="9"/>
        <color theme="1"/>
        <rFont val="Calibri"/>
        <family val="2"/>
      </rPr>
      <t xml:space="preserve"> “</t>
    </r>
    <r>
      <rPr>
        <sz val="9"/>
        <color theme="1"/>
        <rFont val="맑은 고딕"/>
        <family val="3"/>
        <charset val="129"/>
      </rPr>
      <t>옵션</t>
    </r>
    <r>
      <rPr>
        <sz val="9"/>
        <color theme="1"/>
        <rFont val="Calibri"/>
        <family val="2"/>
      </rPr>
      <t xml:space="preserve">” </t>
    </r>
    <r>
      <rPr>
        <sz val="9"/>
        <color theme="1"/>
        <rFont val="맑은 고딕"/>
        <family val="3"/>
        <charset val="129"/>
      </rPr>
      <t>버튼을</t>
    </r>
    <r>
      <rPr>
        <sz val="9"/>
        <color theme="1"/>
        <rFont val="Calibri"/>
        <family val="2"/>
      </rPr>
      <t xml:space="preserve"> </t>
    </r>
    <r>
      <rPr>
        <sz val="9"/>
        <color theme="1"/>
        <rFont val="맑은 고딕"/>
        <family val="3"/>
        <charset val="129"/>
      </rPr>
      <t>클릭하면</t>
    </r>
    <r>
      <rPr>
        <sz val="9"/>
        <color theme="1"/>
        <rFont val="Calibri"/>
        <family val="2"/>
      </rPr>
      <t xml:space="preserve">  “</t>
    </r>
    <r>
      <rPr>
        <sz val="9"/>
        <color theme="1"/>
        <rFont val="맑은 고딕"/>
        <family val="3"/>
        <charset val="129"/>
      </rPr>
      <t>산출물</t>
    </r>
    <r>
      <rPr>
        <sz val="9"/>
        <color theme="1"/>
        <rFont val="Calibri"/>
        <family val="2"/>
      </rPr>
      <t>”</t>
    </r>
    <r>
      <rPr>
        <sz val="9"/>
        <color theme="1"/>
        <rFont val="맑은 고딕"/>
        <family val="3"/>
        <charset val="129"/>
      </rPr>
      <t>과</t>
    </r>
    <r>
      <rPr>
        <sz val="9"/>
        <color theme="1"/>
        <rFont val="Calibri"/>
        <family val="2"/>
      </rPr>
      <t xml:space="preserve"> </t>
    </r>
    <r>
      <rPr>
        <sz val="9"/>
        <color theme="1"/>
        <rFont val="맑은 고딕"/>
        <family val="3"/>
        <charset val="129"/>
      </rPr>
      <t>관련된</t>
    </r>
    <r>
      <rPr>
        <sz val="9"/>
        <color theme="1"/>
        <rFont val="Calibri"/>
        <family val="2"/>
      </rPr>
      <t xml:space="preserve"> </t>
    </r>
    <r>
      <rPr>
        <sz val="9"/>
        <color theme="1"/>
        <rFont val="맑은 고딕"/>
        <family val="3"/>
        <charset val="129"/>
      </rPr>
      <t>설정을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</si>
  <si>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표준캘린더</t>
    </r>
  </si>
  <si>
    <r>
      <rPr>
        <sz val="9"/>
        <color theme="1"/>
        <rFont val="맑은 고딕"/>
        <family val="3"/>
        <charset val="129"/>
      </rPr>
      <t>별</t>
    </r>
    <r>
      <rPr>
        <sz val="9"/>
        <color theme="1"/>
        <rFont val="Calibri"/>
        <family val="2"/>
      </rPr>
      <t>(*)</t>
    </r>
    <r>
      <rPr>
        <sz val="9"/>
        <color theme="1"/>
        <rFont val="맑은 고딕"/>
        <family val="3"/>
        <charset val="129"/>
      </rPr>
      <t>표시는</t>
    </r>
    <r>
      <rPr>
        <sz val="9"/>
        <color theme="1"/>
        <rFont val="Calibri"/>
        <family val="2"/>
      </rPr>
      <t xml:space="preserve"> </t>
    </r>
    <r>
      <rPr>
        <sz val="9"/>
        <color theme="1"/>
        <rFont val="맑은 고딕"/>
        <family val="3"/>
        <charset val="129"/>
      </rPr>
      <t>필수입력</t>
    </r>
    <phoneticPr fontId="1" type="noConversion"/>
  </si>
  <si>
    <r>
      <rPr>
        <sz val="9"/>
        <color theme="1"/>
        <rFont val="맑은 고딕"/>
        <family val="3"/>
        <charset val="129"/>
      </rPr>
      <t>시작일</t>
    </r>
  </si>
  <si>
    <r>
      <rPr>
        <sz val="9"/>
        <color theme="1"/>
        <rFont val="맑은 고딕"/>
        <family val="3"/>
        <charset val="129"/>
      </rPr>
      <t>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</si>
  <si>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</si>
  <si>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</si>
  <si>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</si>
  <si>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계획과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날짜에</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</si>
  <si>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일찍</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</si>
  <si>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늦게</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</si>
  <si>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시작일</t>
    </r>
    <r>
      <rPr>
        <sz val="9"/>
        <color theme="1"/>
        <rFont val="Calibri"/>
        <family val="2"/>
      </rPr>
      <t>-</t>
    </r>
    <r>
      <rPr>
        <sz val="9"/>
        <color theme="1"/>
        <rFont val="맑은 고딕"/>
        <family val="3"/>
        <charset val="129"/>
      </rPr>
      <t>완료일</t>
    </r>
  </si>
  <si>
    <r>
      <rPr>
        <sz val="9"/>
        <color theme="1"/>
        <rFont val="맑은 고딕"/>
        <family val="3"/>
        <charset val="129"/>
      </rPr>
      <t>가져오기가</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</si>
  <si>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일</t>
    </r>
  </si>
  <si>
    <r>
      <rPr>
        <sz val="9"/>
        <color theme="1"/>
        <rFont val="맑은 고딕"/>
        <family val="3"/>
        <charset val="129"/>
      </rPr>
      <t>체계</t>
    </r>
    <r>
      <rPr>
        <sz val="9"/>
        <color theme="1"/>
        <rFont val="Calibri"/>
        <family val="2"/>
      </rPr>
      <t xml:space="preserve"> 1</t>
    </r>
    <phoneticPr fontId="1" type="noConversion"/>
  </si>
  <si>
    <r>
      <rPr>
        <sz val="9"/>
        <color theme="1"/>
        <rFont val="맑은 고딕"/>
        <family val="3"/>
        <charset val="129"/>
      </rPr>
      <t>체계</t>
    </r>
    <r>
      <rPr>
        <sz val="9"/>
        <color theme="1"/>
        <rFont val="Calibri"/>
        <family val="2"/>
      </rPr>
      <t xml:space="preserve"> 2</t>
    </r>
  </si>
  <si>
    <r>
      <rPr>
        <sz val="9"/>
        <color theme="1"/>
        <rFont val="맑은 고딕"/>
        <family val="3"/>
        <charset val="129"/>
      </rPr>
      <t>작업</t>
    </r>
    <phoneticPr fontId="1" type="noConversion"/>
  </si>
  <si>
    <r>
      <rPr>
        <sz val="9"/>
        <color theme="1"/>
        <rFont val="맑은 고딕"/>
        <family val="3"/>
        <charset val="129"/>
      </rPr>
      <t>작업영역이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 xml:space="preserve">. </t>
    </r>
    <r>
      <rPr>
        <sz val="9"/>
        <color theme="1"/>
        <rFont val="맑은 고딕"/>
        <family val="3"/>
        <charset val="129"/>
      </rPr>
      <t>영역을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</si>
  <si>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작업입력</t>
    </r>
    <r>
      <rPr>
        <sz val="9"/>
        <color theme="1"/>
        <rFont val="Calibri"/>
        <family val="2"/>
      </rPr>
      <t xml:space="preserve">, </t>
    </r>
    <r>
      <rPr>
        <sz val="9"/>
        <color theme="1"/>
        <rFont val="맑은 고딕"/>
        <family val="3"/>
        <charset val="129"/>
      </rPr>
      <t>스케줄</t>
    </r>
    <r>
      <rPr>
        <sz val="9"/>
        <color theme="1"/>
        <rFont val="Calibri"/>
        <family val="2"/>
      </rPr>
      <t xml:space="preserve"> </t>
    </r>
    <r>
      <rPr>
        <sz val="9"/>
        <color theme="1"/>
        <rFont val="맑은 고딕"/>
        <family val="3"/>
        <charset val="129"/>
      </rPr>
      <t>업데이트</t>
    </r>
  </si>
  <si>
    <r>
      <rPr>
        <sz val="9"/>
        <color theme="1"/>
        <rFont val="맑은 고딕"/>
        <family val="3"/>
        <charset val="129"/>
      </rPr>
      <t>작업명</t>
    </r>
  </si>
  <si>
    <r>
      <rPr>
        <sz val="9"/>
        <color theme="1"/>
        <rFont val="맑은 고딕"/>
        <family val="3"/>
        <charset val="129"/>
      </rPr>
      <t>작업명</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이름</t>
    </r>
    <r>
      <rPr>
        <sz val="9"/>
        <color theme="1"/>
        <rFont val="Calibri"/>
        <family val="2"/>
      </rPr>
      <t>, Task, Activity</t>
    </r>
    <r>
      <rPr>
        <sz val="9"/>
        <color theme="1"/>
        <rFont val="맑은 고딕"/>
        <family val="3"/>
        <charset val="129"/>
      </rPr>
      <t>등</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표시하는</t>
    </r>
    <r>
      <rPr>
        <sz val="9"/>
        <color theme="1"/>
        <rFont val="Calibri"/>
        <family val="2"/>
      </rPr>
      <t xml:space="preserve"> </t>
    </r>
    <r>
      <rPr>
        <sz val="9"/>
        <color theme="1"/>
        <rFont val="맑은 고딕"/>
        <family val="3"/>
        <charset val="129"/>
      </rPr>
      <t>방식이</t>
    </r>
    <r>
      <rPr>
        <sz val="9"/>
        <color theme="1"/>
        <rFont val="Calibri"/>
        <family val="2"/>
      </rPr>
      <t xml:space="preserve"> </t>
    </r>
    <r>
      <rPr>
        <sz val="9"/>
        <color theme="1"/>
        <rFont val="맑은 고딕"/>
        <family val="3"/>
        <charset val="129"/>
      </rPr>
      <t>다를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표시되는</t>
    </r>
    <r>
      <rPr>
        <sz val="9"/>
        <color theme="1"/>
        <rFont val="Calibri"/>
        <family val="2"/>
      </rPr>
      <t xml:space="preserve"> </t>
    </r>
    <r>
      <rPr>
        <sz val="9"/>
        <color theme="1"/>
        <rFont val="맑은 고딕"/>
        <family val="3"/>
        <charset val="129"/>
      </rPr>
      <t>경우에는</t>
    </r>
    <r>
      <rPr>
        <sz val="9"/>
        <color theme="1"/>
        <rFont val="Calibri"/>
        <family val="2"/>
      </rPr>
      <t xml:space="preserve"> 1 Level </t>
    </r>
    <r>
      <rPr>
        <sz val="9"/>
        <color theme="1"/>
        <rFont val="맑은 고딕"/>
        <family val="3"/>
        <charset val="129"/>
      </rPr>
      <t>필드만</t>
    </r>
    <r>
      <rPr>
        <sz val="9"/>
        <color theme="1"/>
        <rFont val="Calibri"/>
        <family val="2"/>
      </rPr>
      <t xml:space="preserve"> Traget</t>
    </r>
    <r>
      <rPr>
        <sz val="9"/>
        <color theme="1"/>
        <rFont val="맑은 고딕"/>
        <family val="3"/>
        <charset val="129"/>
      </rPr>
      <t>파일의</t>
    </r>
    <r>
      <rPr>
        <sz val="9"/>
        <color theme="1"/>
        <rFont val="Calibri"/>
        <family val="2"/>
      </rPr>
      <t xml:space="preserve"> "</t>
    </r>
    <r>
      <rPr>
        <sz val="9"/>
        <color theme="1"/>
        <rFont val="맑은 고딕"/>
        <family val="3"/>
        <charset val="129"/>
      </rPr>
      <t>작업명</t>
    </r>
    <r>
      <rPr>
        <sz val="9"/>
        <color theme="1"/>
        <rFont val="Calibri"/>
        <family val="2"/>
      </rPr>
      <t>"</t>
    </r>
    <r>
      <rPr>
        <sz val="9"/>
        <color theme="1"/>
        <rFont val="맑은 고딕"/>
        <family val="3"/>
        <charset val="129"/>
      </rPr>
      <t>필드와</t>
    </r>
    <r>
      <rPr>
        <sz val="9"/>
        <color theme="1"/>
        <rFont val="Calibri"/>
        <family val="2"/>
      </rPr>
      <t xml:space="preserve"> Mapping</t>
    </r>
    <r>
      <rPr>
        <sz val="9"/>
        <color theme="1"/>
        <rFont val="맑은 고딕"/>
        <family val="3"/>
        <charset val="129"/>
      </rPr>
      <t>하면</t>
    </r>
    <r>
      <rPr>
        <sz val="9"/>
        <color theme="1"/>
        <rFont val="Calibri"/>
        <family val="2"/>
      </rPr>
      <t xml:space="preserve"> </t>
    </r>
    <r>
      <rPr>
        <sz val="9"/>
        <color theme="1"/>
        <rFont val="맑은 고딕"/>
        <family val="3"/>
        <charset val="129"/>
      </rPr>
      <t>됩니다</t>
    </r>
    <r>
      <rPr>
        <sz val="9"/>
        <color theme="1"/>
        <rFont val="Calibri"/>
        <family val="2"/>
      </rPr>
      <t>.</t>
    </r>
  </si>
  <si>
    <r>
      <t>Task(</t>
    </r>
    <r>
      <rPr>
        <sz val="9"/>
        <color theme="1"/>
        <rFont val="맑은 고딕"/>
        <family val="3"/>
        <charset val="129"/>
      </rPr>
      <t>작업명</t>
    </r>
    <r>
      <rPr>
        <sz val="9"/>
        <color theme="1"/>
        <rFont val="Calibri"/>
        <family val="2"/>
      </rPr>
      <t xml:space="preserve">, </t>
    </r>
    <r>
      <rPr>
        <sz val="9"/>
        <color theme="1"/>
        <rFont val="맑은 고딕"/>
        <family val="3"/>
        <charset val="129"/>
      </rPr>
      <t>이름</t>
    </r>
    <r>
      <rPr>
        <sz val="9"/>
        <color theme="1"/>
        <rFont val="Calibri"/>
        <family val="2"/>
      </rPr>
      <t xml:space="preserve"> </t>
    </r>
    <r>
      <rPr>
        <sz val="9"/>
        <color theme="1"/>
        <rFont val="맑은 고딕"/>
        <family val="3"/>
        <charset val="129"/>
      </rPr>
      <t>등</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</si>
  <si>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실적진척율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</si>
  <si>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실적진척율이</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</si>
  <si>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실제완료일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</si>
  <si>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</si>
  <si>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</si>
  <si>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</si>
  <si>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Calendar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</si>
  <si>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</si>
  <si>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</si>
  <si>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비고</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</si>
  <si>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</si>
  <si>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</si>
  <si>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</si>
  <si>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담당</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</si>
  <si>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</si>
  <si>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</si>
  <si>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</si>
  <si>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</si>
  <si>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Level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</si>
  <si>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</si>
  <si>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가중치</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</si>
  <si>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sheet</t>
    </r>
    <r>
      <rPr>
        <sz val="9"/>
        <color theme="1"/>
        <rFont val="맑은 고딕"/>
        <family val="3"/>
        <charset val="129"/>
      </rPr>
      <t>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이름을</t>
    </r>
    <r>
      <rPr>
        <sz val="9"/>
        <color theme="1"/>
        <rFont val="Calibri"/>
        <family val="2"/>
      </rPr>
      <t xml:space="preserve"> </t>
    </r>
    <r>
      <rPr>
        <sz val="9"/>
        <color theme="1"/>
        <rFont val="맑은 고딕"/>
        <family val="3"/>
        <charset val="129"/>
      </rPr>
      <t>변경하거나</t>
    </r>
    <r>
      <rPr>
        <sz val="9"/>
        <color theme="1"/>
        <rFont val="Calibri"/>
        <family val="2"/>
      </rPr>
      <t xml:space="preserve"> </t>
    </r>
    <r>
      <rPr>
        <sz val="9"/>
        <color theme="1"/>
        <rFont val="맑은 고딕"/>
        <family val="3"/>
        <charset val="129"/>
      </rPr>
      <t>삭제했는지</t>
    </r>
    <r>
      <rPr>
        <sz val="9"/>
        <color theme="1"/>
        <rFont val="Calibri"/>
        <family val="2"/>
      </rPr>
      <t xml:space="preserve"> </t>
    </r>
    <r>
      <rPr>
        <sz val="9"/>
        <color theme="1"/>
        <rFont val="맑은 고딕"/>
        <family val="3"/>
        <charset val="129"/>
      </rPr>
      <t>확인하세요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</si>
  <si>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</si>
  <si>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비어있고</t>
    </r>
    <r>
      <rPr>
        <sz val="9"/>
        <color theme="1"/>
        <rFont val="Calibri"/>
        <family val="2"/>
      </rPr>
      <t xml:space="preserve"> </t>
    </r>
    <r>
      <rPr>
        <sz val="9"/>
        <color theme="1"/>
        <rFont val="맑은 고딕"/>
        <family val="3"/>
        <charset val="129"/>
      </rPr>
      <t>실제완료일만</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</si>
  <si>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</si>
  <si>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실제완료일보다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</si>
  <si>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</si>
  <si>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실젝</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</si>
  <si>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</si>
  <si>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입력되었는데</t>
    </r>
    <r>
      <rPr>
        <sz val="9"/>
        <color theme="1"/>
        <rFont val="Calibri"/>
        <family val="2"/>
      </rPr>
      <t xml:space="preserve"> </t>
    </r>
    <r>
      <rPr>
        <sz val="9"/>
        <color theme="1"/>
        <rFont val="맑은 고딕"/>
        <family val="3"/>
        <charset val="129"/>
      </rPr>
      <t>작업필드가</t>
    </r>
    <r>
      <rPr>
        <sz val="9"/>
        <color theme="1"/>
        <rFont val="Calibri"/>
        <family val="2"/>
      </rPr>
      <t xml:space="preserve"> </t>
    </r>
    <r>
      <rPr>
        <sz val="9"/>
        <color theme="1"/>
        <rFont val="맑은 고딕"/>
        <family val="3"/>
        <charset val="129"/>
      </rPr>
      <t>비어있습니다</t>
    </r>
    <r>
      <rPr>
        <sz val="9"/>
        <color theme="1"/>
        <rFont val="Calibri"/>
        <family val="2"/>
      </rPr>
      <t>.\n</t>
    </r>
    <r>
      <rPr>
        <sz val="9"/>
        <color theme="1"/>
        <rFont val="맑은 고딕"/>
        <family val="3"/>
        <charset val="129"/>
      </rPr>
      <t>작업필드의</t>
    </r>
    <r>
      <rPr>
        <sz val="9"/>
        <color theme="1"/>
        <rFont val="Calibri"/>
        <family val="2"/>
      </rPr>
      <t xml:space="preserve"> </t>
    </r>
    <r>
      <rPr>
        <sz val="9"/>
        <color theme="1"/>
        <rFont val="맑은 고딕"/>
        <family val="3"/>
        <charset val="129"/>
      </rPr>
      <t>값을</t>
    </r>
    <r>
      <rPr>
        <sz val="9"/>
        <color theme="1"/>
        <rFont val="Calibri"/>
        <family val="2"/>
      </rPr>
      <t xml:space="preserve"> </t>
    </r>
    <r>
      <rPr>
        <sz val="9"/>
        <color theme="1"/>
        <rFont val="맑은 고딕"/>
        <family val="3"/>
        <charset val="129"/>
      </rPr>
      <t>채우거나</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지우세요</t>
    </r>
    <r>
      <rPr>
        <sz val="9"/>
        <color theme="1"/>
        <rFont val="Calibri"/>
        <family val="2"/>
      </rPr>
      <t>.</t>
    </r>
  </si>
  <si>
    <r>
      <rPr>
        <sz val="9"/>
        <color theme="1"/>
        <rFont val="맑은 고딕"/>
        <family val="3"/>
        <charset val="129"/>
      </rPr>
      <t>산출물명이</t>
    </r>
    <r>
      <rPr>
        <sz val="9"/>
        <color theme="1"/>
        <rFont val="Calibri"/>
        <family val="2"/>
      </rPr>
      <t xml:space="preserve"> </t>
    </r>
    <r>
      <rPr>
        <sz val="9"/>
        <color theme="1"/>
        <rFont val="맑은 고딕"/>
        <family val="3"/>
        <charset val="129"/>
      </rPr>
      <t>비어있습니다</t>
    </r>
    <r>
      <rPr>
        <sz val="9"/>
        <color theme="1"/>
        <rFont val="Calibri"/>
        <family val="2"/>
      </rPr>
      <t>.</t>
    </r>
  </si>
  <si>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</si>
  <si>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</si>
  <si>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Gantt</t>
    </r>
    <r>
      <rPr>
        <sz val="9"/>
        <color theme="1"/>
        <rFont val="맑은 고딕"/>
        <family val="3"/>
        <charset val="129"/>
      </rPr>
      <t>영역의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</si>
  <si>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형식입니다</t>
    </r>
    <r>
      <rPr>
        <sz val="9"/>
        <color theme="1"/>
        <rFont val="Calibri"/>
        <family val="2"/>
      </rPr>
      <t xml:space="preserve">. XLGantt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</si>
  <si>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다음의</t>
    </r>
    <r>
      <rPr>
        <sz val="9"/>
        <color theme="1"/>
        <rFont val="Calibri"/>
        <family val="2"/>
      </rPr>
      <t xml:space="preserve"> XLGantt</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버전입니다</t>
    </r>
    <r>
      <rPr>
        <sz val="9"/>
        <color theme="1"/>
        <rFont val="Calibri"/>
        <family val="2"/>
      </rPr>
      <t xml:space="preserve">.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</si>
  <si>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성공적으로</t>
    </r>
    <r>
      <rPr>
        <sz val="9"/>
        <color theme="1"/>
        <rFont val="Calibri"/>
        <family val="2"/>
      </rPr>
      <t xml:space="preserve"> </t>
    </r>
    <r>
      <rPr>
        <sz val="9"/>
        <color theme="1"/>
        <rFont val="맑은 고딕"/>
        <family val="3"/>
        <charset val="129"/>
      </rPr>
      <t>가져왔습니다</t>
    </r>
    <r>
      <rPr>
        <sz val="9"/>
        <color theme="1"/>
        <rFont val="Calibri"/>
        <family val="2"/>
      </rPr>
      <t>.</t>
    </r>
  </si>
  <si>
    <r>
      <rPr>
        <sz val="9"/>
        <color theme="1"/>
        <rFont val="맑은 고딕"/>
        <family val="3"/>
        <charset val="129"/>
      </rPr>
      <t>다음의</t>
    </r>
    <r>
      <rPr>
        <sz val="9"/>
        <color theme="1"/>
        <rFont val="Calibri"/>
        <family val="2"/>
      </rPr>
      <t xml:space="preserve"> </t>
    </r>
    <r>
      <rPr>
        <sz val="9"/>
        <color theme="1"/>
        <rFont val="맑은 고딕"/>
        <family val="3"/>
        <charset val="129"/>
      </rPr>
      <t>폴더가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</si>
  <si>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</si>
  <si>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</si>
  <si>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</si>
  <si>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</si>
  <si>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기간의</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잘못되었습니다</t>
    </r>
    <r>
      <rPr>
        <sz val="9"/>
        <color theme="1"/>
        <rFont val="Calibri"/>
        <family val="2"/>
      </rPr>
      <t>. W(</t>
    </r>
    <r>
      <rPr>
        <sz val="9"/>
        <color theme="1"/>
        <rFont val="맑은 고딕"/>
        <family val="3"/>
        <charset val="129"/>
      </rPr>
      <t>주</t>
    </r>
    <r>
      <rPr>
        <sz val="9"/>
        <color theme="1"/>
        <rFont val="Calibri"/>
        <family val="2"/>
      </rPr>
      <t>), M(</t>
    </r>
    <r>
      <rPr>
        <sz val="9"/>
        <color theme="1"/>
        <rFont val="맑은 고딕"/>
        <family val="3"/>
        <charset val="129"/>
      </rPr>
      <t>월</t>
    </r>
    <r>
      <rPr>
        <sz val="9"/>
        <color theme="1"/>
        <rFont val="Calibri"/>
        <family val="2"/>
      </rPr>
      <t xml:space="preserve">) </t>
    </r>
    <r>
      <rPr>
        <sz val="9"/>
        <color theme="1"/>
        <rFont val="맑은 고딕"/>
        <family val="3"/>
        <charset val="129"/>
      </rPr>
      <t>중에</t>
    </r>
    <r>
      <rPr>
        <sz val="9"/>
        <color theme="1"/>
        <rFont val="Calibri"/>
        <family val="2"/>
      </rPr>
      <t xml:space="preserve"> </t>
    </r>
    <r>
      <rPr>
        <sz val="9"/>
        <color theme="1"/>
        <rFont val="맑은 고딕"/>
        <family val="3"/>
        <charset val="129"/>
      </rPr>
      <t>하나를</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합니다</t>
    </r>
  </si>
  <si>
    <r>
      <rPr>
        <sz val="9"/>
        <color theme="1"/>
        <rFont val="맑은 고딕"/>
        <family val="3"/>
        <charset val="129"/>
      </rPr>
      <t>언어설정이</t>
    </r>
    <r>
      <rPr>
        <sz val="9"/>
        <color theme="1"/>
        <rFont val="Calibri"/>
        <family val="2"/>
      </rPr>
      <t xml:space="preserve"> </t>
    </r>
    <r>
      <rPr>
        <sz val="9"/>
        <color theme="1"/>
        <rFont val="맑은 고딕"/>
        <family val="3"/>
        <charset val="129"/>
      </rPr>
      <t>변경되었습니다</t>
    </r>
    <r>
      <rPr>
        <sz val="9"/>
        <color theme="1"/>
        <rFont val="Calibri"/>
        <family val="2"/>
      </rPr>
      <t>.\n</t>
    </r>
    <r>
      <rPr>
        <sz val="9"/>
        <color theme="1"/>
        <rFont val="맑은 고딕"/>
        <family val="3"/>
        <charset val="129"/>
      </rPr>
      <t>확인버튼을</t>
    </r>
    <r>
      <rPr>
        <sz val="9"/>
        <color theme="1"/>
        <rFont val="Calibri"/>
        <family val="2"/>
      </rPr>
      <t xml:space="preserve"> </t>
    </r>
    <r>
      <rPr>
        <sz val="9"/>
        <color theme="1"/>
        <rFont val="맑은 고딕"/>
        <family val="3"/>
        <charset val="129"/>
      </rPr>
      <t>누르면</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시작합니다</t>
    </r>
    <r>
      <rPr>
        <sz val="9"/>
        <color theme="1"/>
        <rFont val="Calibri"/>
        <family val="2"/>
      </rPr>
      <t xml:space="preserve">. </t>
    </r>
    <r>
      <rPr>
        <sz val="9"/>
        <color theme="1"/>
        <rFont val="맑은 고딕"/>
        <family val="3"/>
        <charset val="129"/>
      </rPr>
      <t>번역은</t>
    </r>
    <r>
      <rPr>
        <sz val="9"/>
        <color theme="1"/>
        <rFont val="Calibri"/>
        <family val="2"/>
      </rPr>
      <t xml:space="preserve"> </t>
    </r>
    <r>
      <rPr>
        <sz val="9"/>
        <color theme="1"/>
        <rFont val="맑은 고딕"/>
        <family val="3"/>
        <charset val="129"/>
      </rPr>
      <t>시간이</t>
    </r>
    <r>
      <rPr>
        <sz val="9"/>
        <color theme="1"/>
        <rFont val="Calibri"/>
        <family val="2"/>
      </rPr>
      <t xml:space="preserve"> </t>
    </r>
    <r>
      <rPr>
        <sz val="9"/>
        <color theme="1"/>
        <rFont val="맑은 고딕"/>
        <family val="3"/>
        <charset val="129"/>
      </rPr>
      <t>걸릴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\n</t>
    </r>
    <r>
      <rPr>
        <sz val="9"/>
        <color theme="1"/>
        <rFont val="맑은 고딕"/>
        <family val="3"/>
        <charset val="129"/>
      </rPr>
      <t>리본메뉴</t>
    </r>
    <r>
      <rPr>
        <sz val="9"/>
        <color theme="1"/>
        <rFont val="Calibri"/>
        <family val="2"/>
      </rPr>
      <t xml:space="preserve">, </t>
    </r>
    <r>
      <rPr>
        <sz val="9"/>
        <color theme="1"/>
        <rFont val="맑은 고딕"/>
        <family val="3"/>
        <charset val="129"/>
      </rPr>
      <t>팝업메뉴의</t>
    </r>
    <r>
      <rPr>
        <sz val="9"/>
        <color theme="1"/>
        <rFont val="Calibri"/>
        <family val="2"/>
      </rPr>
      <t xml:space="preserve"> </t>
    </r>
    <r>
      <rPr>
        <sz val="9"/>
        <color theme="1"/>
        <rFont val="맑은 고딕"/>
        <family val="3"/>
        <charset val="129"/>
      </rPr>
      <t>언어는</t>
    </r>
    <r>
      <rPr>
        <sz val="9"/>
        <color theme="1"/>
        <rFont val="Calibri"/>
        <family val="2"/>
      </rPr>
      <t xml:space="preserve"> </t>
    </r>
    <r>
      <rPr>
        <sz val="9"/>
        <color theme="1"/>
        <rFont val="맑은 고딕"/>
        <family val="3"/>
        <charset val="129"/>
      </rPr>
      <t>이</t>
    </r>
    <r>
      <rPr>
        <sz val="9"/>
        <color theme="1"/>
        <rFont val="Calibri"/>
        <family val="2"/>
      </rPr>
      <t xml:space="preserve"> XLGantt</t>
    </r>
    <r>
      <rPr>
        <sz val="9"/>
        <color theme="1"/>
        <rFont val="맑은 고딕"/>
        <family val="3"/>
        <charset val="129"/>
      </rPr>
      <t>파일을</t>
    </r>
    <r>
      <rPr>
        <sz val="9"/>
        <color theme="1"/>
        <rFont val="Calibri"/>
        <family val="2"/>
      </rPr>
      <t xml:space="preserve"> </t>
    </r>
    <r>
      <rPr>
        <sz val="9"/>
        <color theme="1"/>
        <rFont val="맑은 고딕"/>
        <family val="3"/>
        <charset val="129"/>
      </rPr>
      <t>닫은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새로</t>
    </r>
    <r>
      <rPr>
        <sz val="9"/>
        <color theme="1"/>
        <rFont val="Calibri"/>
        <family val="2"/>
      </rPr>
      <t xml:space="preserve"> </t>
    </r>
    <r>
      <rPr>
        <sz val="9"/>
        <color theme="1"/>
        <rFont val="맑은 고딕"/>
        <family val="3"/>
        <charset val="129"/>
      </rPr>
      <t>열어야</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적용됩니다</t>
    </r>
    <r>
      <rPr>
        <sz val="9"/>
        <color theme="1"/>
        <rFont val="Calibri"/>
        <family val="2"/>
      </rPr>
      <t>.</t>
    </r>
    <phoneticPr fontId="3"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</si>
  <si>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</si>
  <si>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행의</t>
    </r>
    <r>
      <rPr>
        <sz val="9"/>
        <color theme="1"/>
        <rFont val="Calibri"/>
        <family val="2"/>
      </rPr>
      <t xml:space="preserve"> Level</t>
    </r>
    <r>
      <rPr>
        <sz val="9"/>
        <color theme="1"/>
        <rFont val="맑은 고딕"/>
        <family val="3"/>
        <charset val="129"/>
      </rPr>
      <t>이</t>
    </r>
    <r>
      <rPr>
        <sz val="9"/>
        <color theme="1"/>
        <rFont val="Calibri"/>
        <family val="2"/>
      </rPr>
      <t xml:space="preserve"> </t>
    </r>
    <r>
      <rPr>
        <sz val="9"/>
        <color theme="1"/>
        <rFont val="맑은 고딕"/>
        <family val="3"/>
        <charset val="129"/>
      </rPr>
      <t>맞지</t>
    </r>
    <r>
      <rPr>
        <sz val="9"/>
        <color theme="1"/>
        <rFont val="Calibri"/>
        <family val="2"/>
      </rPr>
      <t xml:space="preserve"> </t>
    </r>
    <r>
      <rPr>
        <sz val="9"/>
        <color theme="1"/>
        <rFont val="맑은 고딕"/>
        <family val="3"/>
        <charset val="129"/>
      </rPr>
      <t>않습니다</t>
    </r>
    <r>
      <rPr>
        <sz val="9"/>
        <color theme="1"/>
        <rFont val="Calibri"/>
        <family val="2"/>
      </rPr>
      <t>. Level</t>
    </r>
    <r>
      <rPr>
        <sz val="9"/>
        <color theme="1"/>
        <rFont val="맑은 고딕"/>
        <family val="3"/>
        <charset val="129"/>
      </rPr>
      <t>을</t>
    </r>
    <r>
      <rPr>
        <sz val="9"/>
        <color theme="1"/>
        <rFont val="Calibri"/>
        <family val="2"/>
      </rPr>
      <t xml:space="preserve"> 1</t>
    </r>
    <r>
      <rPr>
        <sz val="9"/>
        <color theme="1"/>
        <rFont val="맑은 고딕"/>
        <family val="3"/>
        <charset val="129"/>
      </rPr>
      <t>보다</t>
    </r>
    <r>
      <rPr>
        <sz val="9"/>
        <color theme="1"/>
        <rFont val="Calibri"/>
        <family val="2"/>
      </rPr>
      <t xml:space="preserve"> </t>
    </r>
    <r>
      <rPr>
        <sz val="9"/>
        <color theme="1"/>
        <rFont val="맑은 고딕"/>
        <family val="3"/>
        <charset val="129"/>
      </rPr>
      <t>크게</t>
    </r>
    <r>
      <rPr>
        <sz val="9"/>
        <color theme="1"/>
        <rFont val="Calibri"/>
        <family val="2"/>
      </rPr>
      <t xml:space="preserve"> </t>
    </r>
    <r>
      <rPr>
        <sz val="9"/>
        <color theme="1"/>
        <rFont val="맑은 고딕"/>
        <family val="3"/>
        <charset val="129"/>
      </rPr>
      <t>증가했는지</t>
    </r>
    <r>
      <rPr>
        <sz val="9"/>
        <color theme="1"/>
        <rFont val="Calibri"/>
        <family val="2"/>
      </rPr>
      <t xml:space="preserve"> </t>
    </r>
    <r>
      <rPr>
        <sz val="9"/>
        <color theme="1"/>
        <rFont val="맑은 고딕"/>
        <family val="3"/>
        <charset val="129"/>
      </rPr>
      <t>확인하세요</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</si>
  <si>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개까지만</t>
    </r>
    <r>
      <rPr>
        <sz val="9"/>
        <color theme="1"/>
        <rFont val="Calibri"/>
        <family val="2"/>
      </rPr>
      <t xml:space="preserve"> </t>
    </r>
    <r>
      <rPr>
        <sz val="9"/>
        <color theme="1"/>
        <rFont val="맑은 고딕"/>
        <family val="3"/>
        <charset val="129"/>
      </rPr>
      <t>가능합니다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</si>
  <si>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양의</t>
    </r>
    <r>
      <rPr>
        <sz val="9"/>
        <color theme="1"/>
        <rFont val="Calibri"/>
        <family val="2"/>
      </rPr>
      <t xml:space="preserve"> </t>
    </r>
    <r>
      <rPr>
        <sz val="9"/>
        <color theme="1"/>
        <rFont val="맑은 고딕"/>
        <family val="3"/>
        <charset val="129"/>
      </rPr>
      <t>정수만</t>
    </r>
    <r>
      <rPr>
        <sz val="9"/>
        <color theme="1"/>
        <rFont val="Calibri"/>
        <family val="2"/>
      </rPr>
      <t xml:space="preserve"> </t>
    </r>
    <r>
      <rPr>
        <sz val="9"/>
        <color theme="1"/>
        <rFont val="맑은 고딕"/>
        <family val="3"/>
        <charset val="129"/>
      </rPr>
      <t>가능합니다</t>
    </r>
    <r>
      <rPr>
        <sz val="9"/>
        <color theme="1"/>
        <rFont val="Calibri"/>
        <family val="2"/>
      </rPr>
      <t>.</t>
    </r>
  </si>
  <si>
    <r>
      <t>Task</t>
    </r>
    <r>
      <rPr>
        <sz val="9"/>
        <color theme="1"/>
        <rFont val="맑은 고딕"/>
        <family val="3"/>
        <charset val="129"/>
      </rPr>
      <t>열의</t>
    </r>
    <r>
      <rPr>
        <sz val="9"/>
        <color theme="1"/>
        <rFont val="Calibri"/>
        <family val="2"/>
      </rPr>
      <t xml:space="preserve"> </t>
    </r>
    <r>
      <rPr>
        <sz val="9"/>
        <color theme="1"/>
        <rFont val="맑은 고딕"/>
        <family val="3"/>
        <charset val="129"/>
      </rPr>
      <t>갯수가</t>
    </r>
    <r>
      <rPr>
        <sz val="9"/>
        <color theme="1"/>
        <rFont val="Calibri"/>
        <family val="2"/>
      </rPr>
      <t xml:space="preserve"> 10</t>
    </r>
    <r>
      <rPr>
        <sz val="9"/>
        <color theme="1"/>
        <rFont val="맑은 고딕"/>
        <family val="3"/>
        <charset val="129"/>
      </rPr>
      <t>개가</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phoneticPr fontId="1" type="noConversion"/>
  </si>
  <si>
    <r>
      <t>{} sheet</t>
    </r>
    <r>
      <rPr>
        <sz val="9"/>
        <color theme="1"/>
        <rFont val="맑은 고딕"/>
        <family val="3"/>
        <charset val="129"/>
      </rPr>
      <t>의</t>
    </r>
    <r>
      <rPr>
        <sz val="9"/>
        <color theme="1"/>
        <rFont val="Calibri"/>
        <family val="2"/>
      </rPr>
      <t xml:space="preserve"> </t>
    </r>
    <r>
      <rPr>
        <sz val="9"/>
        <color theme="1"/>
        <rFont val="맑은 고딕"/>
        <family val="3"/>
        <charset val="129"/>
      </rPr>
      <t>에러로</t>
    </r>
    <r>
      <rPr>
        <sz val="9"/>
        <color theme="1"/>
        <rFont val="Calibri"/>
        <family val="2"/>
      </rPr>
      <t xml:space="preserve"> </t>
    </r>
    <r>
      <rPr>
        <sz val="9"/>
        <color theme="1"/>
        <rFont val="맑은 고딕"/>
        <family val="3"/>
        <charset val="129"/>
      </rPr>
      <t>인해</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중단되었습니다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</si>
  <si>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</si>
  <si>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</si>
  <si>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자원배정비율이</t>
    </r>
    <r>
      <rPr>
        <sz val="9"/>
        <color theme="1"/>
        <rFont val="Calibri"/>
        <family val="2"/>
      </rPr>
      <t xml:space="preserve"> </t>
    </r>
    <r>
      <rPr>
        <sz val="9"/>
        <color theme="1"/>
        <rFont val="맑은 고딕"/>
        <family val="3"/>
        <charset val="129"/>
      </rPr>
      <t>잘못입력되었습니다</t>
    </r>
    <r>
      <rPr>
        <sz val="9"/>
        <color theme="1"/>
        <rFont val="Calibri"/>
        <family val="2"/>
      </rPr>
      <t>.</t>
    </r>
  </si>
  <si>
    <r>
      <rPr>
        <sz val="9"/>
        <color theme="1"/>
        <rFont val="맑은 고딕"/>
        <family val="3"/>
        <charset val="129"/>
      </rPr>
      <t>자원배정비율은</t>
    </r>
    <r>
      <rPr>
        <sz val="9"/>
        <color theme="1"/>
        <rFont val="Calibri"/>
        <family val="2"/>
      </rPr>
      <t xml:space="preserve"> </t>
    </r>
    <r>
      <rPr>
        <sz val="9"/>
        <color theme="1"/>
        <rFont val="맑은 고딕"/>
        <family val="3"/>
        <charset val="129"/>
      </rPr>
      <t>다음과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</si>
  <si>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</si>
  <si>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</si>
  <si>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</si>
  <si>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</si>
  <si>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 xml:space="preserve">{} sheet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1 Level</t>
    </r>
    <r>
      <rPr>
        <sz val="9"/>
        <color theme="1"/>
        <rFont val="맑은 고딕"/>
        <family val="3"/>
        <charset val="129"/>
      </rPr>
      <t>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첫째칸이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칸에</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확인하세요</t>
    </r>
    <r>
      <rPr>
        <sz val="9"/>
        <color theme="1"/>
        <rFont val="Calibri"/>
        <family val="2"/>
      </rPr>
      <t>.</t>
    </r>
  </si>
  <si>
    <r>
      <t>Task</t>
    </r>
    <r>
      <rPr>
        <sz val="9"/>
        <color theme="1"/>
        <rFont val="맑은 고딕"/>
        <family val="3"/>
        <charset val="129"/>
      </rPr>
      <t>필드</t>
    </r>
    <r>
      <rPr>
        <sz val="9"/>
        <color theme="1"/>
        <rFont val="Calibri"/>
        <family val="2"/>
      </rPr>
      <t xml:space="preserve"> </t>
    </r>
    <r>
      <rPr>
        <sz val="9"/>
        <color theme="1"/>
        <rFont val="맑은 고딕"/>
        <family val="3"/>
        <charset val="129"/>
      </rPr>
      <t>유형</t>
    </r>
  </si>
  <si>
    <r>
      <t>1</t>
    </r>
    <r>
      <rPr>
        <sz val="9"/>
        <color theme="1"/>
        <rFont val="맑은 고딕"/>
        <family val="3"/>
        <charset val="129"/>
      </rPr>
      <t>월</t>
    </r>
    <r>
      <rPr>
        <sz val="9"/>
        <color theme="1"/>
        <rFont val="Calibri"/>
        <family val="2"/>
      </rPr>
      <t xml:space="preserve"> 1</t>
    </r>
    <r>
      <rPr>
        <sz val="9"/>
        <color theme="1"/>
        <rFont val="맑은 고딕"/>
        <family val="3"/>
        <charset val="129"/>
      </rPr>
      <t>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phoneticPr fontId="1" type="noConversion"/>
  </si>
  <si>
    <r>
      <rPr>
        <sz val="9"/>
        <color theme="1"/>
        <rFont val="맑은 고딕"/>
        <family val="3"/>
        <charset val="129"/>
      </rPr>
      <t>한주의</t>
    </r>
    <r>
      <rPr>
        <sz val="9"/>
        <color theme="1"/>
        <rFont val="Calibri"/>
        <family val="2"/>
      </rPr>
      <t xml:space="preserve"> </t>
    </r>
    <r>
      <rPr>
        <sz val="9"/>
        <color theme="1"/>
        <rFont val="맑은 고딕"/>
        <family val="3"/>
        <charset val="129"/>
      </rPr>
      <t>시작은</t>
    </r>
    <r>
      <rPr>
        <sz val="9"/>
        <color theme="1"/>
        <rFont val="Calibri"/>
        <family val="2"/>
      </rPr>
      <t xml:space="preserve"> </t>
    </r>
    <r>
      <rPr>
        <sz val="9"/>
        <color theme="1"/>
        <rFont val="맑은 고딕"/>
        <family val="3"/>
        <charset val="129"/>
      </rPr>
      <t>월요일이며</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목요일을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r>
      <rPr>
        <sz val="9"/>
        <color theme="1"/>
        <rFont val="Calibri"/>
        <family val="2"/>
      </rPr>
      <t xml:space="preserve">(ISO 8601 </t>
    </r>
    <r>
      <rPr>
        <sz val="9"/>
        <color theme="1"/>
        <rFont val="맑은 고딕"/>
        <family val="3"/>
        <charset val="129"/>
      </rPr>
      <t>표준</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</si>
  <si>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가중치가</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</si>
  <si>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실행프로그램이</t>
    </r>
    <r>
      <rPr>
        <sz val="9"/>
        <color theme="1"/>
        <rFont val="Calibri"/>
        <family val="2"/>
      </rPr>
      <t xml:space="preserve"> </t>
    </r>
    <r>
      <rPr>
        <sz val="9"/>
        <color theme="1"/>
        <rFont val="맑은 고딕"/>
        <family val="3"/>
        <charset val="129"/>
      </rPr>
      <t>없습니다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</si>
  <si>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또는계획작업량</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오류가</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완료일이</t>
    </r>
    <r>
      <rPr>
        <sz val="9"/>
        <color theme="1"/>
        <rFont val="Calibri"/>
        <family val="2"/>
      </rPr>
      <t xml:space="preserve"> </t>
    </r>
    <r>
      <rPr>
        <sz val="9"/>
        <color theme="1"/>
        <rFont val="맑은 고딕"/>
        <family val="3"/>
        <charset val="129"/>
      </rPr>
      <t>잘못</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수식에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없는지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</si>
  <si>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파일에</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</si>
  <si>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</si>
  <si>
    <r>
      <rPr>
        <sz val="9"/>
        <color theme="1"/>
        <rFont val="맑은 고딕"/>
        <family val="3"/>
        <charset val="129"/>
      </rPr>
      <t>계산할</t>
    </r>
    <r>
      <rPr>
        <sz val="9"/>
        <color theme="1"/>
        <rFont val="Calibri"/>
        <family val="2"/>
      </rPr>
      <t xml:space="preserve"> </t>
    </r>
    <r>
      <rPr>
        <sz val="9"/>
        <color theme="1"/>
        <rFont val="맑은 고딕"/>
        <family val="3"/>
        <charset val="129"/>
      </rPr>
      <t>입력자료가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</si>
  <si>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</si>
  <si>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입력</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서식재설정</t>
    </r>
    <r>
      <rPr>
        <sz val="9"/>
        <color theme="1"/>
        <rFont val="Calibri"/>
        <family val="2"/>
      </rPr>
      <t xml:space="preserve"> </t>
    </r>
    <r>
      <rPr>
        <sz val="9"/>
        <color theme="1"/>
        <rFont val="맑은 고딕"/>
        <family val="3"/>
        <charset val="129"/>
      </rPr>
      <t>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</si>
  <si>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실제시작일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벗어난</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발생할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</si>
  <si>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영역입니다</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</si>
  <si>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이번</t>
    </r>
    <r>
      <rPr>
        <sz val="9"/>
        <color theme="1"/>
        <rFont val="Calibri"/>
        <family val="2"/>
      </rPr>
      <t xml:space="preserve"> </t>
    </r>
    <r>
      <rPr>
        <sz val="9"/>
        <color theme="1"/>
        <rFont val="맑은 고딕"/>
        <family val="3"/>
        <charset val="129"/>
      </rPr>
      <t>달</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</si>
  <si>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이번</t>
    </r>
    <r>
      <rPr>
        <sz val="9"/>
        <color theme="1"/>
        <rFont val="Calibri"/>
        <family val="2"/>
      </rPr>
      <t xml:space="preserve"> </t>
    </r>
    <r>
      <rPr>
        <sz val="9"/>
        <color theme="1"/>
        <rFont val="맑은 고딕"/>
        <family val="3"/>
        <charset val="129"/>
      </rPr>
      <t>주</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</si>
  <si>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지금</t>
    </r>
    <r>
      <rPr>
        <sz val="9"/>
        <color theme="1"/>
        <rFont val="Calibri"/>
        <family val="2"/>
      </rPr>
      <t xml:space="preserve"> </t>
    </r>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최신버전이</t>
    </r>
    <r>
      <rPr>
        <sz val="9"/>
        <color theme="1"/>
        <rFont val="Calibri"/>
        <family val="2"/>
      </rPr>
      <t xml:space="preserve"> </t>
    </r>
    <r>
      <rPr>
        <sz val="9"/>
        <color theme="1"/>
        <rFont val="맑은 고딕"/>
        <family val="3"/>
        <charset val="129"/>
      </rPr>
      <t>아닙니다</t>
    </r>
    <r>
      <rPr>
        <sz val="9"/>
        <color theme="1"/>
        <rFont val="Calibri"/>
        <family val="2"/>
      </rPr>
      <t xml:space="preserve">.\n_x000D_
</t>
    </r>
    <r>
      <rPr>
        <sz val="9"/>
        <color theme="1"/>
        <rFont val="맑은 고딕"/>
        <family val="3"/>
        <charset val="129"/>
      </rPr>
      <t>최신버전을</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사이트에서</t>
    </r>
    <r>
      <rPr>
        <sz val="9"/>
        <color theme="1"/>
        <rFont val="Calibri"/>
        <family val="2"/>
      </rPr>
      <t xml:space="preserve"> </t>
    </r>
    <r>
      <rPr>
        <sz val="9"/>
        <color theme="1"/>
        <rFont val="맑은 고딕"/>
        <family val="3"/>
        <charset val="129"/>
      </rPr>
      <t>다운로드</t>
    </r>
    <r>
      <rPr>
        <sz val="9"/>
        <color theme="1"/>
        <rFont val="Calibri"/>
        <family val="2"/>
      </rPr>
      <t xml:space="preserve"> </t>
    </r>
    <r>
      <rPr>
        <sz val="9"/>
        <color theme="1"/>
        <rFont val="맑은 고딕"/>
        <family val="3"/>
        <charset val="129"/>
      </rPr>
      <t>받으세요</t>
    </r>
    <r>
      <rPr>
        <sz val="9"/>
        <color theme="1"/>
        <rFont val="Calibri"/>
        <family val="2"/>
      </rPr>
      <t>.</t>
    </r>
  </si>
  <si>
    <r>
      <rPr>
        <sz val="9"/>
        <color theme="1"/>
        <rFont val="맑은 고딕"/>
        <family val="3"/>
        <charset val="129"/>
      </rPr>
      <t>목</t>
    </r>
  </si>
  <si>
    <r>
      <t xml:space="preserve">Time bucket type </t>
    </r>
    <r>
      <rPr>
        <sz val="9"/>
        <color theme="1"/>
        <rFont val="맑은 고딕"/>
        <family val="3"/>
        <charset val="129"/>
      </rPr>
      <t>오류입니다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</si>
  <si>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</si>
  <si>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WBS</t>
    </r>
    <r>
      <rPr>
        <sz val="9"/>
        <color theme="1"/>
        <rFont val="맑은 고딕"/>
        <family val="3"/>
        <charset val="129"/>
      </rPr>
      <t>영역</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</si>
  <si>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Target</t>
    </r>
    <r>
      <rPr>
        <sz val="9"/>
        <color theme="1"/>
        <rFont val="맑은 고딕"/>
        <family val="3"/>
        <charset val="129"/>
      </rPr>
      <t>파일</t>
    </r>
    <r>
      <rPr>
        <sz val="9"/>
        <color theme="1"/>
        <rFont val="Calibri"/>
        <family val="2"/>
      </rPr>
      <t>(</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t>
    </r>
    <r>
      <rPr>
        <sz val="9"/>
        <color theme="1"/>
        <rFont val="Calibri"/>
        <family val="2"/>
      </rPr>
      <t>)</t>
    </r>
  </si>
  <si>
    <r>
      <rPr>
        <sz val="9"/>
        <color theme="1"/>
        <rFont val="맑은 고딕"/>
        <family val="3"/>
        <charset val="129"/>
      </rPr>
      <t>끝날짜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</si>
  <si>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Source</t>
    </r>
    <r>
      <rPr>
        <sz val="9"/>
        <color theme="1"/>
        <rFont val="맑은 고딕"/>
        <family val="3"/>
        <charset val="129"/>
      </rPr>
      <t>파일에서</t>
    </r>
    <r>
      <rPr>
        <sz val="9"/>
        <color theme="1"/>
        <rFont val="Calibri"/>
        <family val="2"/>
      </rPr>
      <t xml:space="preserve"> Target</t>
    </r>
    <r>
      <rPr>
        <sz val="9"/>
        <color theme="1"/>
        <rFont val="맑은 고딕"/>
        <family val="3"/>
        <charset val="129"/>
      </rPr>
      <t>파일로</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위해서</t>
    </r>
    <r>
      <rPr>
        <sz val="9"/>
        <color theme="1"/>
        <rFont val="Calibri"/>
        <family val="2"/>
      </rPr>
      <t xml:space="preserve"> </t>
    </r>
    <r>
      <rPr>
        <sz val="9"/>
        <color theme="1"/>
        <rFont val="맑은 고딕"/>
        <family val="3"/>
        <charset val="129"/>
      </rPr>
      <t>각각의</t>
    </r>
    <r>
      <rPr>
        <sz val="9"/>
        <color theme="1"/>
        <rFont val="Calibri"/>
        <family val="2"/>
      </rPr>
      <t xml:space="preserve"> </t>
    </r>
    <r>
      <rPr>
        <sz val="9"/>
        <color theme="1"/>
        <rFont val="맑은 고딕"/>
        <family val="3"/>
        <charset val="129"/>
      </rPr>
      <t>필드를</t>
    </r>
    <r>
      <rPr>
        <sz val="9"/>
        <color theme="1"/>
        <rFont val="Calibri"/>
        <family val="2"/>
      </rPr>
      <t xml:space="preserve"> Mapping</t>
    </r>
    <r>
      <rPr>
        <sz val="9"/>
        <color theme="1"/>
        <rFont val="맑은 고딕"/>
        <family val="3"/>
        <charset val="129"/>
      </rPr>
      <t>합니다</t>
    </r>
    <r>
      <rPr>
        <sz val="9"/>
        <color theme="1"/>
        <rFont val="Calibri"/>
        <family val="2"/>
      </rPr>
      <t>. _x000D_
Source</t>
    </r>
    <r>
      <rPr>
        <sz val="9"/>
        <color theme="1"/>
        <rFont val="맑은 고딕"/>
        <family val="3"/>
        <charset val="129"/>
      </rPr>
      <t>파일의</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먼저</t>
    </r>
    <r>
      <rPr>
        <sz val="9"/>
        <color theme="1"/>
        <rFont val="Calibri"/>
        <family val="2"/>
      </rPr>
      <t xml:space="preserve"> </t>
    </r>
    <r>
      <rPr>
        <sz val="9"/>
        <color theme="1"/>
        <rFont val="맑은 고딕"/>
        <family val="3"/>
        <charset val="129"/>
      </rPr>
      <t>선택하고</t>
    </r>
    <r>
      <rPr>
        <sz val="9"/>
        <color theme="1"/>
        <rFont val="Calibri"/>
        <family val="2"/>
      </rPr>
      <t xml:space="preserve"> </t>
    </r>
    <r>
      <rPr>
        <sz val="9"/>
        <color theme="1"/>
        <rFont val="맑은 고딕"/>
        <family val="3"/>
        <charset val="129"/>
      </rPr>
      <t>해당되는</t>
    </r>
    <r>
      <rPr>
        <sz val="9"/>
        <color theme="1"/>
        <rFont val="Calibri"/>
        <family val="2"/>
      </rPr>
      <t xml:space="preserve"> </t>
    </r>
    <r>
      <rPr>
        <sz val="9"/>
        <color theme="1"/>
        <rFont val="맑은 고딕"/>
        <family val="3"/>
        <charset val="129"/>
      </rPr>
      <t>필드를</t>
    </r>
    <r>
      <rPr>
        <sz val="9"/>
        <color theme="1"/>
        <rFont val="Calibri"/>
        <family val="2"/>
      </rPr>
      <t xml:space="preserve"> Targe</t>
    </r>
    <r>
      <rPr>
        <sz val="9"/>
        <color theme="1"/>
        <rFont val="맑은 고딕"/>
        <family val="3"/>
        <charset val="129"/>
      </rPr>
      <t>파일에서</t>
    </r>
    <r>
      <rPr>
        <sz val="9"/>
        <color theme="1"/>
        <rFont val="Calibri"/>
        <family val="2"/>
      </rPr>
      <t xml:space="preserve"> </t>
    </r>
    <r>
      <rPr>
        <sz val="9"/>
        <color theme="1"/>
        <rFont val="맑은 고딕"/>
        <family val="3"/>
        <charset val="129"/>
      </rPr>
      <t>찾아서</t>
    </r>
    <r>
      <rPr>
        <sz val="9"/>
        <color theme="1"/>
        <rFont val="Calibri"/>
        <family val="2"/>
      </rPr>
      <t xml:space="preserve"> Mapping</t>
    </r>
    <r>
      <rPr>
        <sz val="9"/>
        <color theme="1"/>
        <rFont val="맑은 고딕"/>
        <family val="3"/>
        <charset val="129"/>
      </rPr>
      <t>합니다</t>
    </r>
    <r>
      <rPr>
        <sz val="9"/>
        <color theme="1"/>
        <rFont val="Calibri"/>
        <family val="2"/>
      </rPr>
      <t>.</t>
    </r>
  </si>
  <si>
    <r>
      <rPr>
        <sz val="9"/>
        <color theme="1"/>
        <rFont val="맑은 고딕"/>
        <family val="3"/>
        <charset val="129"/>
      </rPr>
      <t>오늘</t>
    </r>
  </si>
  <si>
    <r>
      <rPr>
        <sz val="9"/>
        <color theme="1"/>
        <rFont val="맑은 고딕"/>
        <family val="3"/>
        <charset val="129"/>
      </rPr>
      <t>오늘</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</si>
  <si>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총기간</t>
    </r>
  </si>
  <si>
    <r>
      <rPr>
        <sz val="9"/>
        <color theme="1"/>
        <rFont val="맑은 고딕"/>
        <family val="3"/>
        <charset val="129"/>
      </rPr>
      <t>총작업량</t>
    </r>
  </si>
  <si>
    <r>
      <rPr>
        <sz val="9"/>
        <color theme="1"/>
        <rFont val="맑은 고딕"/>
        <family val="3"/>
        <charset val="129"/>
      </rPr>
      <t>총작업량</t>
    </r>
    <r>
      <rPr>
        <sz val="9"/>
        <color theme="1"/>
        <rFont val="Calibri"/>
        <family val="2"/>
      </rPr>
      <t>(A)\nMan-day</t>
    </r>
  </si>
  <si>
    <r>
      <rPr>
        <sz val="9"/>
        <color theme="1"/>
        <rFont val="맑은 고딕"/>
        <family val="3"/>
        <charset val="129"/>
      </rPr>
      <t>총</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총</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</si>
  <si>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작업량</t>
    </r>
  </si>
  <si>
    <r>
      <rPr>
        <sz val="9"/>
        <color theme="1"/>
        <rFont val="맑은 고딕"/>
        <family val="3"/>
        <charset val="129"/>
      </rPr>
      <t>총</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</si>
  <si>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총</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</si>
  <si>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총</t>
    </r>
    <r>
      <rPr>
        <sz val="9"/>
        <color theme="1"/>
        <rFont val="Calibri"/>
        <family val="2"/>
      </rPr>
      <t>\n</t>
    </r>
    <r>
      <rPr>
        <sz val="9"/>
        <color theme="1"/>
        <rFont val="맑은 고딕"/>
        <family val="3"/>
        <charset val="129"/>
      </rPr>
      <t>기간</t>
    </r>
  </si>
  <si>
    <r>
      <rPr>
        <sz val="9"/>
        <color theme="1"/>
        <rFont val="맑은 고딕"/>
        <family val="3"/>
        <charset val="129"/>
      </rPr>
      <t>총</t>
    </r>
    <r>
      <rPr>
        <sz val="9"/>
        <color theme="1"/>
        <rFont val="Calibri"/>
        <family val="2"/>
      </rPr>
      <t>\n</t>
    </r>
    <r>
      <rPr>
        <sz val="9"/>
        <color theme="1"/>
        <rFont val="맑은 고딕"/>
        <family val="3"/>
        <charset val="129"/>
      </rPr>
      <t>작업량</t>
    </r>
  </si>
  <si>
    <r>
      <rPr>
        <sz val="9"/>
        <color theme="1"/>
        <rFont val="맑은 고딕"/>
        <family val="3"/>
        <charset val="129"/>
      </rPr>
      <t>화</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</si>
  <si>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실적진척율을</t>
    </r>
    <r>
      <rPr>
        <sz val="9"/>
        <color theme="1"/>
        <rFont val="Calibri"/>
        <family val="2"/>
      </rPr>
      <t xml:space="preserve"> 0~100% </t>
    </r>
    <r>
      <rPr>
        <sz val="9"/>
        <color theme="1"/>
        <rFont val="맑은 고딕"/>
        <family val="3"/>
        <charset val="129"/>
      </rPr>
      <t>범위로</t>
    </r>
    <r>
      <rPr>
        <sz val="9"/>
        <color theme="1"/>
        <rFont val="Calibri"/>
        <family val="2"/>
      </rPr>
      <t xml:space="preserve"> </t>
    </r>
    <r>
      <rPr>
        <sz val="9"/>
        <color theme="1"/>
        <rFont val="맑은 고딕"/>
        <family val="3"/>
        <charset val="129"/>
      </rPr>
      <t>입력해주세요</t>
    </r>
    <r>
      <rPr>
        <sz val="9"/>
        <color theme="1"/>
        <rFont val="Calibri"/>
        <family val="2"/>
      </rPr>
      <t>.</t>
    </r>
  </si>
  <si>
    <r>
      <rPr>
        <sz val="9"/>
        <color theme="1"/>
        <rFont val="맑은 고딕"/>
        <family val="3"/>
        <charset val="129"/>
      </rPr>
      <t>화면설계</t>
    </r>
  </si>
  <si>
    <r>
      <rPr>
        <sz val="9"/>
        <color theme="1"/>
        <rFont val="맑은 고딕"/>
        <family val="3"/>
        <charset val="129"/>
      </rPr>
      <t>파일을</t>
    </r>
    <r>
      <rPr>
        <sz val="9"/>
        <color theme="1"/>
        <rFont val="Calibri"/>
        <family val="2"/>
      </rPr>
      <t xml:space="preserve"> </t>
    </r>
    <r>
      <rPr>
        <sz val="9"/>
        <color theme="1"/>
        <rFont val="맑은 고딕"/>
        <family val="3"/>
        <charset val="129"/>
      </rPr>
      <t>열수</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환경설정</t>
    </r>
    <r>
      <rPr>
        <sz val="9"/>
        <color theme="1"/>
        <rFont val="Calibri"/>
        <family val="2"/>
      </rPr>
      <t>&gt;</t>
    </r>
    <r>
      <rPr>
        <sz val="9"/>
        <color theme="1"/>
        <rFont val="맑은 고딕"/>
        <family val="3"/>
        <charset val="129"/>
      </rPr>
      <t>산출물관리</t>
    </r>
    <r>
      <rPr>
        <sz val="9"/>
        <color theme="1"/>
        <rFont val="Calibri"/>
        <family val="2"/>
      </rPr>
      <t xml:space="preserve"> </t>
    </r>
    <r>
      <rPr>
        <sz val="9"/>
        <color theme="1"/>
        <rFont val="맑은 고딕"/>
        <family val="3"/>
        <charset val="129"/>
      </rPr>
      <t>탭에서</t>
    </r>
    <r>
      <rPr>
        <sz val="9"/>
        <color theme="1"/>
        <rFont val="Calibri"/>
        <family val="2"/>
      </rPr>
      <t xml:space="preserve"> "</t>
    </r>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체크상태로</t>
    </r>
    <r>
      <rPr>
        <sz val="9"/>
        <color theme="1"/>
        <rFont val="Calibri"/>
        <family val="2"/>
      </rPr>
      <t xml:space="preserve"> </t>
    </r>
    <r>
      <rPr>
        <sz val="9"/>
        <color theme="1"/>
        <rFont val="맑은 고딕"/>
        <family val="3"/>
        <charset val="129"/>
      </rPr>
      <t>변경해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</si>
  <si>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스케줄</t>
    </r>
    <r>
      <rPr>
        <sz val="9"/>
        <color theme="1"/>
        <rFont val="Calibri"/>
        <family val="2"/>
      </rPr>
      <t>\n</t>
    </r>
    <r>
      <rPr>
        <sz val="9"/>
        <color theme="1"/>
        <rFont val="맑은 고딕"/>
        <family val="3"/>
        <charset val="129"/>
      </rPr>
      <t>업데이트</t>
    </r>
    <phoneticPr fontId="1" type="noConversion"/>
  </si>
  <si>
    <r>
      <rPr>
        <sz val="9"/>
        <color theme="1"/>
        <rFont val="맑은 고딕"/>
        <family val="3"/>
        <charset val="129"/>
      </rPr>
      <t>업데이트</t>
    </r>
    <r>
      <rPr>
        <sz val="9"/>
        <color theme="1"/>
        <rFont val="Calibri"/>
        <family val="2"/>
      </rPr>
      <t xml:space="preserve"> </t>
    </r>
    <r>
      <rPr>
        <sz val="9"/>
        <color theme="1"/>
        <rFont val="맑은 고딕"/>
        <family val="3"/>
        <charset val="129"/>
      </rPr>
      <t>내용</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</si>
  <si>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중입니다</t>
    </r>
    <r>
      <rPr>
        <sz val="9"/>
        <color theme="1"/>
        <rFont val="Calibri"/>
        <family val="2"/>
      </rPr>
      <t>...\n</t>
    </r>
    <r>
      <rPr>
        <sz val="9"/>
        <color theme="1"/>
        <rFont val="맑은 고딕"/>
        <family val="3"/>
        <charset val="129"/>
      </rPr>
      <t>잠시만</t>
    </r>
    <r>
      <rPr>
        <sz val="9"/>
        <color theme="1"/>
        <rFont val="Calibri"/>
        <family val="2"/>
      </rPr>
      <t xml:space="preserve"> </t>
    </r>
    <r>
      <rPr>
        <sz val="9"/>
        <color theme="1"/>
        <rFont val="맑은 고딕"/>
        <family val="3"/>
        <charset val="129"/>
      </rPr>
      <t>기다려</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</si>
  <si>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</si>
  <si>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</si>
  <si>
    <r>
      <rPr>
        <sz val="9"/>
        <color theme="1"/>
        <rFont val="맑은 고딕"/>
        <family val="3"/>
        <charset val="129"/>
      </rPr>
      <t>차이</t>
    </r>
    <r>
      <rPr>
        <sz val="9"/>
        <color theme="1"/>
        <rFont val="Calibri"/>
        <family val="2"/>
      </rPr>
      <t>(</t>
    </r>
    <r>
      <rPr>
        <sz val="9"/>
        <color theme="1"/>
        <rFont val="맑은 고딕"/>
        <family val="3"/>
        <charset val="129"/>
      </rPr>
      <t>실적</t>
    </r>
    <r>
      <rPr>
        <sz val="9"/>
        <color theme="1"/>
        <rFont val="Calibri"/>
        <family val="2"/>
      </rPr>
      <t>-</t>
    </r>
    <r>
      <rPr>
        <sz val="9"/>
        <color theme="1"/>
        <rFont val="맑은 고딕"/>
        <family val="3"/>
        <charset val="129"/>
      </rPr>
      <t>계획</t>
    </r>
    <r>
      <rPr>
        <sz val="9"/>
        <color theme="1"/>
        <rFont val="Calibri"/>
        <family val="2"/>
      </rPr>
      <t>)</t>
    </r>
  </si>
  <si>
    <r>
      <t>WBS</t>
    </r>
    <r>
      <rPr>
        <sz val="9"/>
        <color theme="1"/>
        <rFont val="맑은 고딕"/>
        <family val="3"/>
        <charset val="129"/>
      </rPr>
      <t>영역</t>
    </r>
    <r>
      <rPr>
        <sz val="9"/>
        <color theme="1"/>
        <rFont val="Calibri"/>
        <family val="2"/>
      </rPr>
      <t xml:space="preserve"> </t>
    </r>
    <r>
      <rPr>
        <sz val="9"/>
        <color theme="1"/>
        <rFont val="맑은 고딕"/>
        <family val="3"/>
        <charset val="129"/>
      </rPr>
      <t>표시방법</t>
    </r>
  </si>
  <si>
    <r>
      <t>WBS Level(</t>
    </r>
    <r>
      <rPr>
        <sz val="9"/>
        <color theme="1"/>
        <rFont val="맑은 고딕"/>
        <family val="3"/>
        <charset val="129"/>
      </rPr>
      <t>개요번호</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</si>
  <si>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자동계산필드</t>
    </r>
    <phoneticPr fontId="1" type="noConversion"/>
  </si>
  <si>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입력필드</t>
    </r>
    <phoneticPr fontId="1" type="noConversion"/>
  </si>
  <si>
    <r>
      <rPr>
        <sz val="9"/>
        <color theme="1"/>
        <rFont val="맑은 고딕"/>
        <family val="3"/>
        <charset val="129"/>
      </rPr>
      <t>수</t>
    </r>
  </si>
  <si>
    <r>
      <rPr>
        <sz val="9"/>
        <color theme="1"/>
        <rFont val="맑은 고딕"/>
        <family val="3"/>
        <charset val="129"/>
      </rPr>
      <t>주차</t>
    </r>
    <r>
      <rPr>
        <sz val="9"/>
        <color theme="1"/>
        <rFont val="Calibri"/>
        <family val="2"/>
      </rPr>
      <t xml:space="preserve"> </t>
    </r>
    <r>
      <rPr>
        <sz val="9"/>
        <color theme="1"/>
        <rFont val="맑은 고딕"/>
        <family val="3"/>
        <charset val="129"/>
      </rPr>
      <t>표시방식</t>
    </r>
    <phoneticPr fontId="1" type="noConversion"/>
  </si>
  <si>
    <r>
      <rPr>
        <sz val="9"/>
        <color theme="1"/>
        <rFont val="맑은 고딕"/>
        <family val="3"/>
        <charset val="129"/>
      </rPr>
      <t>주별</t>
    </r>
  </si>
  <si>
    <r>
      <rPr>
        <sz val="9"/>
        <color theme="1"/>
        <rFont val="맑은 고딕"/>
        <family val="3"/>
        <charset val="129"/>
      </rPr>
      <t>주별보기</t>
    </r>
  </si>
  <si>
    <r>
      <rPr>
        <sz val="9"/>
        <color theme="1"/>
        <rFont val="맑은 고딕"/>
        <family val="3"/>
        <charset val="129"/>
      </rPr>
      <t>가중치</t>
    </r>
  </si>
  <si>
    <r>
      <rPr>
        <sz val="9"/>
        <color theme="1"/>
        <rFont val="맑은 고딕"/>
        <family val="3"/>
        <charset val="129"/>
      </rPr>
      <t>가중치의</t>
    </r>
    <r>
      <rPr>
        <sz val="9"/>
        <color theme="1"/>
        <rFont val="Calibri"/>
        <family val="2"/>
      </rPr>
      <t xml:space="preserve"> </t>
    </r>
    <r>
      <rPr>
        <sz val="9"/>
        <color theme="1"/>
        <rFont val="맑은 고딕"/>
        <family val="3"/>
        <charset val="129"/>
      </rPr>
      <t>숫자형식이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</si>
  <si>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가중치는</t>
    </r>
    <r>
      <rPr>
        <sz val="9"/>
        <color theme="1"/>
        <rFont val="Calibri"/>
        <family val="2"/>
      </rPr>
      <t xml:space="preserve"> 0</t>
    </r>
    <r>
      <rPr>
        <sz val="9"/>
        <color theme="1"/>
        <rFont val="맑은 고딕"/>
        <family val="3"/>
        <charset val="129"/>
      </rPr>
      <t>보다</t>
    </r>
    <r>
      <rPr>
        <sz val="9"/>
        <color theme="1"/>
        <rFont val="Calibri"/>
        <family val="2"/>
      </rPr>
      <t xml:space="preserve"> </t>
    </r>
    <r>
      <rPr>
        <sz val="9"/>
        <color theme="1"/>
        <rFont val="맑은 고딕"/>
        <family val="3"/>
        <charset val="129"/>
      </rPr>
      <t>커야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</si>
  <si>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</si>
  <si>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</si>
  <si>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작업과</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진척율이</t>
    </r>
    <r>
      <rPr>
        <sz val="9"/>
        <color theme="1"/>
        <rFont val="Calibri"/>
        <family val="2"/>
      </rPr>
      <t xml:space="preserve"> </t>
    </r>
    <r>
      <rPr>
        <sz val="9"/>
        <color theme="1"/>
        <rFont val="맑은 고딕"/>
        <family val="3"/>
        <charset val="129"/>
      </rPr>
      <t>계산되며</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간트차트로</t>
    </r>
    <r>
      <rPr>
        <sz val="9"/>
        <color theme="1"/>
        <rFont val="Calibri"/>
        <family val="2"/>
      </rPr>
      <t xml:space="preserve"> </t>
    </r>
    <r>
      <rPr>
        <sz val="9"/>
        <color theme="1"/>
        <rFont val="맑은 고딕"/>
        <family val="3"/>
        <charset val="129"/>
      </rPr>
      <t>표시해</t>
    </r>
    <r>
      <rPr>
        <sz val="9"/>
        <color theme="1"/>
        <rFont val="Calibri"/>
        <family val="2"/>
      </rPr>
      <t xml:space="preserve"> </t>
    </r>
    <r>
      <rPr>
        <sz val="9"/>
        <color theme="1"/>
        <rFont val="맑은 고딕"/>
        <family val="3"/>
        <charset val="129"/>
      </rPr>
      <t>준다</t>
    </r>
    <r>
      <rPr>
        <sz val="9"/>
        <color theme="1"/>
        <rFont val="Calibri"/>
        <family val="2"/>
      </rPr>
      <t>.</t>
    </r>
    <phoneticPr fontId="1" type="noConversion"/>
  </si>
  <si>
    <r>
      <rPr>
        <sz val="9"/>
        <color theme="1"/>
        <rFont val="맑은 고딕"/>
        <family val="3"/>
        <charset val="129"/>
      </rPr>
      <t>작업명</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완료일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고려하여</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계획진척율</t>
    </r>
    <r>
      <rPr>
        <sz val="9"/>
        <color theme="1"/>
        <rFont val="Calibri"/>
        <family val="2"/>
      </rPr>
      <t xml:space="preserve">, </t>
    </r>
    <r>
      <rPr>
        <sz val="9"/>
        <color theme="1"/>
        <rFont val="맑은 고딕"/>
        <family val="3"/>
        <charset val="129"/>
      </rPr>
      <t>실적진척율</t>
    </r>
    <r>
      <rPr>
        <sz val="9"/>
        <color theme="1"/>
        <rFont val="Calibri"/>
        <family val="2"/>
      </rPr>
      <t xml:space="preserve"> </t>
    </r>
    <r>
      <rPr>
        <sz val="9"/>
        <color theme="1"/>
        <rFont val="맑은 고딕"/>
        <family val="3"/>
        <charset val="129"/>
      </rPr>
      <t>등이</t>
    </r>
    <r>
      <rPr>
        <sz val="9"/>
        <color theme="1"/>
        <rFont val="Calibri"/>
        <family val="2"/>
      </rPr>
      <t xml:space="preserve"> </t>
    </r>
    <r>
      <rPr>
        <sz val="9"/>
        <color theme="1"/>
        <rFont val="맑은 고딕"/>
        <family val="3"/>
        <charset val="129"/>
      </rPr>
      <t>계산된다</t>
    </r>
    <r>
      <rPr>
        <sz val="9"/>
        <color theme="1"/>
        <rFont val="Calibri"/>
        <family val="2"/>
      </rPr>
      <t>.</t>
    </r>
  </si>
  <si>
    <r>
      <rPr>
        <sz val="9"/>
        <color theme="1"/>
        <rFont val="맑은 고딕"/>
        <family val="3"/>
        <charset val="129"/>
      </rPr>
      <t>워드</t>
    </r>
  </si>
  <si>
    <r>
      <rPr>
        <sz val="9"/>
        <color theme="1"/>
        <rFont val="맑은 고딕"/>
        <family val="3"/>
        <charset val="129"/>
      </rPr>
      <t>작업량</t>
    </r>
    <r>
      <rPr>
        <sz val="9"/>
        <color theme="1"/>
        <rFont val="Calibri"/>
        <family val="2"/>
      </rPr>
      <t xml:space="preserve"> </t>
    </r>
    <r>
      <rPr>
        <sz val="9"/>
        <color theme="1"/>
        <rFont val="맑은 고딕"/>
        <family val="3"/>
        <charset val="129"/>
      </rPr>
      <t>계산</t>
    </r>
    <phoneticPr fontId="1" type="noConversion"/>
  </si>
  <si>
    <r>
      <t>Workload</t>
    </r>
    <r>
      <rPr>
        <sz val="9"/>
        <color theme="1"/>
        <rFont val="맑은 고딕"/>
        <family val="3"/>
        <charset val="129"/>
      </rPr>
      <t>현황</t>
    </r>
    <r>
      <rPr>
        <sz val="9"/>
        <color theme="1"/>
        <rFont val="Calibri"/>
        <family val="2"/>
      </rPr>
      <t>({})</t>
    </r>
  </si>
  <si>
    <r>
      <t>Workload(</t>
    </r>
    <r>
      <rPr>
        <sz val="9"/>
        <color theme="1"/>
        <rFont val="맑은 고딕"/>
        <family val="3"/>
        <charset val="129"/>
      </rPr>
      <t>월별</t>
    </r>
    <r>
      <rPr>
        <sz val="9"/>
        <color theme="1"/>
        <rFont val="Calibri"/>
        <family val="2"/>
      </rPr>
      <t>)</t>
    </r>
  </si>
  <si>
    <r>
      <t>Workload(</t>
    </r>
    <r>
      <rPr>
        <sz val="9"/>
        <color theme="1"/>
        <rFont val="맑은 고딕"/>
        <family val="3"/>
        <charset val="129"/>
      </rPr>
      <t>담당별</t>
    </r>
    <r>
      <rPr>
        <sz val="9"/>
        <color theme="1"/>
        <rFont val="Calibri"/>
        <family val="2"/>
      </rPr>
      <t>)</t>
    </r>
  </si>
  <si>
    <r>
      <t>Workload(</t>
    </r>
    <r>
      <rPr>
        <sz val="9"/>
        <color theme="1"/>
        <rFont val="맑은 고딕"/>
        <family val="3"/>
        <charset val="129"/>
      </rPr>
      <t>주별</t>
    </r>
    <r>
      <rPr>
        <sz val="9"/>
        <color theme="1"/>
        <rFont val="Calibri"/>
        <family val="2"/>
      </rPr>
      <t>)</t>
    </r>
  </si>
  <si>
    <r>
      <rPr>
        <sz val="9"/>
        <color theme="1"/>
        <rFont val="맑은 고딕"/>
        <family val="3"/>
        <charset val="129"/>
      </rPr>
      <t>저장하기</t>
    </r>
    <r>
      <rPr>
        <sz val="9"/>
        <color theme="1"/>
        <rFont val="Calibri"/>
        <family val="2"/>
      </rPr>
      <t xml:space="preserve"> </t>
    </r>
    <r>
      <rPr>
        <sz val="9"/>
        <color theme="1"/>
        <rFont val="맑은 고딕"/>
        <family val="3"/>
        <charset val="129"/>
      </rPr>
      <t>전에</t>
    </r>
    <r>
      <rPr>
        <sz val="9"/>
        <color theme="1"/>
        <rFont val="Calibri"/>
        <family val="2"/>
      </rPr>
      <t xml:space="preserve"> </t>
    </r>
    <r>
      <rPr>
        <sz val="9"/>
        <color theme="1"/>
        <rFont val="맑은 고딕"/>
        <family val="3"/>
        <charset val="129"/>
      </rPr>
      <t>스케줄을</t>
    </r>
    <r>
      <rPr>
        <sz val="9"/>
        <color theme="1"/>
        <rFont val="Calibri"/>
        <family val="2"/>
      </rPr>
      <t xml:space="preserve"> </t>
    </r>
    <r>
      <rPr>
        <sz val="9"/>
        <color theme="1"/>
        <rFont val="맑은 고딕"/>
        <family val="3"/>
        <charset val="129"/>
      </rPr>
      <t>업데이트하시겠습니까</t>
    </r>
    <r>
      <rPr>
        <sz val="9"/>
        <color theme="1"/>
        <rFont val="Calibri"/>
        <family val="2"/>
      </rPr>
      <t>?\n\n[</t>
    </r>
    <r>
      <rPr>
        <sz val="9"/>
        <color theme="1"/>
        <rFont val="맑은 고딕"/>
        <family val="3"/>
        <charset val="129"/>
      </rPr>
      <t>스케줄업데이트</t>
    </r>
    <r>
      <rPr>
        <sz val="9"/>
        <color theme="1"/>
        <rFont val="Calibri"/>
        <family val="2"/>
      </rPr>
      <t>]</t>
    </r>
    <r>
      <rPr>
        <sz val="9"/>
        <color theme="1"/>
        <rFont val="맑은 고딕"/>
        <family val="3"/>
        <charset val="129"/>
      </rPr>
      <t>메뉴를</t>
    </r>
    <r>
      <rPr>
        <sz val="9"/>
        <color theme="1"/>
        <rFont val="Calibri"/>
        <family val="2"/>
      </rPr>
      <t xml:space="preserve"> </t>
    </r>
    <r>
      <rPr>
        <sz val="9"/>
        <color theme="1"/>
        <rFont val="맑은 고딕"/>
        <family val="3"/>
        <charset val="129"/>
      </rPr>
      <t>클릭할</t>
    </r>
    <r>
      <rPr>
        <sz val="9"/>
        <color theme="1"/>
        <rFont val="Calibri"/>
        <family val="2"/>
      </rPr>
      <t xml:space="preserve"> </t>
    </r>
    <r>
      <rPr>
        <sz val="9"/>
        <color theme="1"/>
        <rFont val="맑은 고딕"/>
        <family val="3"/>
        <charset val="129"/>
      </rPr>
      <t>때와</t>
    </r>
    <r>
      <rPr>
        <sz val="9"/>
        <color theme="1"/>
        <rFont val="Calibri"/>
        <family val="2"/>
      </rPr>
      <t xml:space="preserve"> </t>
    </r>
    <r>
      <rPr>
        <sz val="9"/>
        <color theme="1"/>
        <rFont val="맑은 고딕"/>
        <family val="3"/>
        <charset val="129"/>
      </rPr>
      <t>동일한</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수행합니다</t>
    </r>
    <r>
      <rPr>
        <sz val="9"/>
        <color theme="1"/>
        <rFont val="Calibri"/>
        <family val="2"/>
      </rPr>
      <t>.</t>
    </r>
    <phoneticPr fontId="3" type="noConversion"/>
  </si>
  <si>
    <r>
      <rPr>
        <sz val="9"/>
        <color theme="1"/>
        <rFont val="맑은 고딕"/>
        <family val="3"/>
        <charset val="129"/>
      </rPr>
      <t>엑셀간트</t>
    </r>
    <r>
      <rPr>
        <sz val="9"/>
        <color theme="1"/>
        <rFont val="Calibri"/>
        <family val="2"/>
      </rPr>
      <t xml:space="preserve">(XLGantt) - </t>
    </r>
    <r>
      <rPr>
        <sz val="9"/>
        <color theme="1"/>
        <rFont val="맑은 고딕"/>
        <family val="3"/>
        <charset val="129"/>
      </rPr>
      <t>엑셀</t>
    </r>
    <r>
      <rPr>
        <sz val="9"/>
        <color theme="1"/>
        <rFont val="Calibri"/>
        <family val="2"/>
      </rPr>
      <t xml:space="preserve"> </t>
    </r>
    <r>
      <rPr>
        <sz val="9"/>
        <color theme="1"/>
        <rFont val="맑은 고딕"/>
        <family val="3"/>
        <charset val="129"/>
      </rPr>
      <t>일정관리</t>
    </r>
    <phoneticPr fontId="1" type="noConversion"/>
  </si>
  <si>
    <r>
      <t xml:space="preserve">XLGantt Version {} </t>
    </r>
    <r>
      <rPr>
        <sz val="9"/>
        <color theme="1"/>
        <rFont val="맑은 고딕"/>
        <family val="3"/>
        <charset val="129"/>
      </rPr>
      <t>사용조건</t>
    </r>
    <phoneticPr fontId="1" type="noConversion"/>
  </si>
  <si>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버전입니다</t>
    </r>
    <r>
      <rPr>
        <sz val="9"/>
        <color theme="1"/>
        <rFont val="Calibri"/>
        <family val="2"/>
      </rPr>
      <t>.\n</t>
    </r>
    <r>
      <rPr>
        <sz val="9"/>
        <color theme="1"/>
        <rFont val="맑은 고딕"/>
        <family val="3"/>
        <charset val="129"/>
      </rPr>
      <t>현재</t>
    </r>
    <r>
      <rPr>
        <sz val="9"/>
        <color theme="1"/>
        <rFont val="Calibri"/>
        <family val="2"/>
      </rPr>
      <t xml:space="preserve"> </t>
    </r>
    <r>
      <rPr>
        <sz val="9"/>
        <color theme="1"/>
        <rFont val="맑은 고딕"/>
        <family val="3"/>
        <charset val="129"/>
      </rPr>
      <t>버전</t>
    </r>
    <r>
      <rPr>
        <sz val="9"/>
        <color theme="1"/>
        <rFont val="Calibri"/>
        <family val="2"/>
      </rPr>
      <t xml:space="preserve"> : {}</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</si>
  <si>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일정을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</si>
  <si>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</si>
  <si>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Bar chart</t>
    </r>
    <r>
      <rPr>
        <sz val="9"/>
        <color theme="1"/>
        <rFont val="맑은 고딕"/>
        <family val="3"/>
        <charset val="129"/>
      </rPr>
      <t>형태로</t>
    </r>
    <r>
      <rPr>
        <sz val="9"/>
        <color theme="1"/>
        <rFont val="Calibri"/>
        <family val="2"/>
      </rPr>
      <t xml:space="preserve"> </t>
    </r>
    <r>
      <rPr>
        <sz val="9"/>
        <color theme="1"/>
        <rFont val="맑은 고딕"/>
        <family val="3"/>
        <charset val="129"/>
      </rPr>
      <t>간트차트를</t>
    </r>
    <r>
      <rPr>
        <sz val="9"/>
        <color theme="1"/>
        <rFont val="Calibri"/>
        <family val="2"/>
      </rPr>
      <t xml:space="preserve"> </t>
    </r>
    <r>
      <rPr>
        <sz val="9"/>
        <color theme="1"/>
        <rFont val="맑은 고딕"/>
        <family val="3"/>
        <charset val="129"/>
      </rPr>
      <t>보여주며</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가지</t>
    </r>
    <r>
      <rPr>
        <sz val="9"/>
        <color theme="1"/>
        <rFont val="Calibri"/>
        <family val="2"/>
      </rPr>
      <t xml:space="preserve"> </t>
    </r>
    <r>
      <rPr>
        <sz val="9"/>
        <color theme="1"/>
        <rFont val="맑은 고딕"/>
        <family val="3"/>
        <charset val="129"/>
      </rPr>
      <t>표시방법을</t>
    </r>
    <r>
      <rPr>
        <sz val="9"/>
        <color theme="1"/>
        <rFont val="Calibri"/>
        <family val="2"/>
      </rPr>
      <t xml:space="preserve"> </t>
    </r>
    <r>
      <rPr>
        <sz val="9"/>
        <color theme="1"/>
        <rFont val="맑은 고딕"/>
        <family val="3"/>
        <charset val="129"/>
      </rPr>
      <t>옵션에서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</si>
  <si>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편집할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</si>
  <si>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정보를</t>
    </r>
    <r>
      <rPr>
        <sz val="9"/>
        <color theme="1"/>
        <rFont val="Calibri"/>
        <family val="2"/>
      </rPr>
      <t xml:space="preserve"> </t>
    </r>
    <r>
      <rPr>
        <sz val="9"/>
        <color theme="1"/>
        <rFont val="맑은 고딕"/>
        <family val="3"/>
        <charset val="129"/>
      </rPr>
      <t>가지고</t>
    </r>
    <r>
      <rPr>
        <sz val="9"/>
        <color theme="1"/>
        <rFont val="Calibri"/>
        <family val="2"/>
      </rPr>
      <t xml:space="preserve"> </t>
    </r>
    <r>
      <rPr>
        <sz val="9"/>
        <color theme="1"/>
        <rFont val="맑은 고딕"/>
        <family val="3"/>
        <charset val="129"/>
      </rPr>
      <t>올</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함수와</t>
    </r>
    <r>
      <rPr>
        <sz val="9"/>
        <color theme="1"/>
        <rFont val="Calibri"/>
        <family val="2"/>
      </rPr>
      <t xml:space="preserve"> </t>
    </r>
    <r>
      <rPr>
        <sz val="9"/>
        <color theme="1"/>
        <rFont val="맑은 고딕"/>
        <family val="3"/>
        <charset val="129"/>
      </rPr>
      <t>엑셀의</t>
    </r>
    <r>
      <rPr>
        <sz val="9"/>
        <color theme="1"/>
        <rFont val="Calibri"/>
        <family val="2"/>
      </rPr>
      <t xml:space="preserve"> </t>
    </r>
    <r>
      <rPr>
        <sz val="9"/>
        <color theme="1"/>
        <rFont val="맑은 고딕"/>
        <family val="3"/>
        <charset val="129"/>
      </rPr>
      <t>수식계산</t>
    </r>
    <r>
      <rPr>
        <sz val="9"/>
        <color theme="1"/>
        <rFont val="Calibri"/>
        <family val="2"/>
      </rPr>
      <t xml:space="preserve"> </t>
    </r>
    <r>
      <rPr>
        <sz val="9"/>
        <color theme="1"/>
        <rFont val="맑은 고딕"/>
        <family val="3"/>
        <charset val="129"/>
      </rPr>
      <t>기능</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엑셀간트에</t>
    </r>
    <r>
      <rPr>
        <sz val="9"/>
        <color theme="1"/>
        <rFont val="Calibri"/>
        <family val="2"/>
      </rPr>
      <t xml:space="preserve"> </t>
    </r>
    <r>
      <rPr>
        <sz val="9"/>
        <color theme="1"/>
        <rFont val="맑은 고딕"/>
        <family val="3"/>
        <charset val="129"/>
      </rPr>
      <t>포함할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제공하고</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이용하면</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상황에</t>
    </r>
    <r>
      <rPr>
        <sz val="9"/>
        <color theme="1"/>
        <rFont val="Calibri"/>
        <family val="2"/>
      </rPr>
      <t xml:space="preserve"> </t>
    </r>
    <r>
      <rPr>
        <sz val="9"/>
        <color theme="1"/>
        <rFont val="맑은 고딕"/>
        <family val="3"/>
        <charset val="129"/>
      </rPr>
      <t>맞도록</t>
    </r>
    <r>
      <rPr>
        <sz val="9"/>
        <color theme="1"/>
        <rFont val="Calibri"/>
        <family val="2"/>
      </rPr>
      <t xml:space="preserve"> </t>
    </r>
    <r>
      <rPr>
        <sz val="9"/>
        <color theme="1"/>
        <rFont val="맑은 고딕"/>
        <family val="3"/>
        <charset val="129"/>
      </rPr>
      <t>엑셀간트를</t>
    </r>
    <r>
      <rPr>
        <sz val="9"/>
        <color theme="1"/>
        <rFont val="Calibri"/>
        <family val="2"/>
      </rPr>
      <t xml:space="preserve"> </t>
    </r>
    <r>
      <rPr>
        <sz val="9"/>
        <color theme="1"/>
        <rFont val="맑은 고딕"/>
        <family val="3"/>
        <charset val="129"/>
      </rPr>
      <t>재</t>
    </r>
    <r>
      <rPr>
        <sz val="9"/>
        <color theme="1"/>
        <rFont val="Calibri"/>
        <family val="2"/>
      </rPr>
      <t xml:space="preserve"> </t>
    </r>
    <r>
      <rPr>
        <sz val="9"/>
        <color theme="1"/>
        <rFont val="맑은 고딕"/>
        <family val="3"/>
        <charset val="129"/>
      </rPr>
      <t>구성할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</si>
  <si>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작업가능합니다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</si>
  <si>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작업할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</si>
  <si>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</si>
  <si>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A</t>
    </r>
    <r>
      <rPr>
        <sz val="9"/>
        <color theme="1"/>
        <rFont val="맑은 고딕"/>
        <family val="3"/>
        <charset val="129"/>
      </rPr>
      <t>열부터</t>
    </r>
    <r>
      <rPr>
        <sz val="9"/>
        <color theme="1"/>
        <rFont val="Calibri"/>
        <family val="2"/>
      </rPr>
      <t xml:space="preserve"> C</t>
    </r>
    <r>
      <rPr>
        <sz val="9"/>
        <color theme="1"/>
        <rFont val="맑은 고딕"/>
        <family val="3"/>
        <charset val="129"/>
      </rPr>
      <t>열까지는</t>
    </r>
    <r>
      <rPr>
        <sz val="9"/>
        <color theme="1"/>
        <rFont val="Calibri"/>
        <family val="2"/>
      </rPr>
      <t xml:space="preserve"> XLGantt</t>
    </r>
    <r>
      <rPr>
        <sz val="9"/>
        <color theme="1"/>
        <rFont val="맑은 고딕"/>
        <family val="3"/>
        <charset val="129"/>
      </rPr>
      <t>프로그램에서</t>
    </r>
    <r>
      <rPr>
        <sz val="9"/>
        <color theme="1"/>
        <rFont val="Calibri"/>
        <family val="2"/>
      </rPr>
      <t xml:space="preserve"> </t>
    </r>
    <r>
      <rPr>
        <sz val="9"/>
        <color theme="1"/>
        <rFont val="맑은 고딕"/>
        <family val="3"/>
        <charset val="129"/>
      </rPr>
      <t>사용하는</t>
    </r>
    <r>
      <rPr>
        <sz val="9"/>
        <color theme="1"/>
        <rFont val="Calibri"/>
        <family val="2"/>
      </rPr>
      <t xml:space="preserve"> </t>
    </r>
    <r>
      <rPr>
        <sz val="9"/>
        <color theme="1"/>
        <rFont val="맑은 고딕"/>
        <family val="3"/>
        <charset val="129"/>
      </rPr>
      <t>영역이므로</t>
    </r>
    <r>
      <rPr>
        <sz val="9"/>
        <color theme="1"/>
        <rFont val="Calibri"/>
        <family val="2"/>
      </rPr>
      <t xml:space="preserve"> </t>
    </r>
    <r>
      <rPr>
        <sz val="9"/>
        <color theme="1"/>
        <rFont val="맑은 고딕"/>
        <family val="3"/>
        <charset val="129"/>
      </rPr>
      <t>임의로</t>
    </r>
    <r>
      <rPr>
        <sz val="9"/>
        <color theme="1"/>
        <rFont val="Calibri"/>
        <family val="2"/>
      </rPr>
      <t xml:space="preserve"> </t>
    </r>
    <r>
      <rPr>
        <sz val="9"/>
        <color theme="1"/>
        <rFont val="맑은 고딕"/>
        <family val="3"/>
        <charset val="129"/>
      </rPr>
      <t>열을</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</si>
  <si>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입력불가</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</si>
  <si>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오른쪽으로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</si>
  <si>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</si>
  <si>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왼쪽으로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</si>
  <si>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Microsoft Outlook</t>
    </r>
    <r>
      <rPr>
        <sz val="9"/>
        <color theme="1"/>
        <rFont val="맑은 고딕"/>
        <family val="3"/>
        <charset val="129"/>
      </rPr>
      <t>을</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.\n</t>
    </r>
    <r>
      <rPr>
        <sz val="9"/>
        <color theme="1"/>
        <rFont val="맑은 고딕"/>
        <family val="3"/>
        <charset val="129"/>
      </rPr>
      <t>정상적으로</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</si>
  <si>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진척율을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</si>
  <si>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변경된</t>
    </r>
    <r>
      <rPr>
        <sz val="9"/>
        <color theme="1"/>
        <rFont val="Calibri"/>
        <family val="2"/>
      </rPr>
      <t xml:space="preserve"> </t>
    </r>
    <r>
      <rPr>
        <sz val="9"/>
        <color theme="1"/>
        <rFont val="맑은 고딕"/>
        <family val="3"/>
        <charset val="129"/>
      </rPr>
      <t>일정은</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변경되었을</t>
    </r>
    <r>
      <rPr>
        <sz val="9"/>
        <color theme="1"/>
        <rFont val="Calibri"/>
        <family val="2"/>
      </rPr>
      <t xml:space="preserve"> </t>
    </r>
    <r>
      <rPr>
        <sz val="9"/>
        <color theme="1"/>
        <rFont val="맑은 고딕"/>
        <family val="3"/>
        <charset val="129"/>
      </rPr>
      <t>때는</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변경합니다</t>
    </r>
    <r>
      <rPr>
        <sz val="9"/>
        <color theme="1"/>
        <rFont val="Calibri"/>
        <family val="2"/>
      </rPr>
      <t xml:space="preserve">.  </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</si>
  <si>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실제완료일을</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지연되었거나</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것을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</si>
  <si>
    <r>
      <rPr>
        <sz val="9"/>
        <color theme="1"/>
        <rFont val="맑은 고딕"/>
        <family val="3"/>
        <charset val="129"/>
      </rPr>
      <t>필드명이</t>
    </r>
    <r>
      <rPr>
        <sz val="9"/>
        <color theme="1"/>
        <rFont val="Calibri"/>
        <family val="2"/>
      </rPr>
      <t xml:space="preserve"> </t>
    </r>
    <r>
      <rPr>
        <sz val="9"/>
        <color theme="1"/>
        <rFont val="맑은 고딕"/>
        <family val="3"/>
        <charset val="129"/>
      </rPr>
      <t>비어있는</t>
    </r>
    <r>
      <rPr>
        <sz val="9"/>
        <color theme="1"/>
        <rFont val="Calibri"/>
        <family val="2"/>
      </rPr>
      <t xml:space="preserve"> </t>
    </r>
    <r>
      <rPr>
        <sz val="9"/>
        <color theme="1"/>
        <rFont val="맑은 고딕"/>
        <family val="3"/>
        <charset val="129"/>
      </rPr>
      <t>항목은</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</si>
  <si>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엑셀매크로</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가져오기를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 xml:space="preserve">. xls </t>
    </r>
    <r>
      <rPr>
        <sz val="9"/>
        <color theme="1"/>
        <rFont val="맑은 고딕"/>
        <family val="3"/>
        <charset val="129"/>
      </rPr>
      <t>또는</t>
    </r>
    <r>
      <rPr>
        <sz val="9"/>
        <color theme="1"/>
        <rFont val="Calibri"/>
        <family val="2"/>
      </rPr>
      <t xml:space="preserve"> xlsx</t>
    </r>
    <r>
      <rPr>
        <sz val="9"/>
        <color theme="1"/>
        <rFont val="맑은 고딕"/>
        <family val="3"/>
        <charset val="129"/>
      </rPr>
      <t>파일로</t>
    </r>
    <r>
      <rPr>
        <sz val="9"/>
        <color theme="1"/>
        <rFont val="Calibri"/>
        <family val="2"/>
      </rPr>
      <t xml:space="preserve"> </t>
    </r>
    <r>
      <rPr>
        <sz val="9"/>
        <color theme="1"/>
        <rFont val="맑은 고딕"/>
        <family val="3"/>
        <charset val="129"/>
      </rPr>
      <t>저장하여</t>
    </r>
    <r>
      <rPr>
        <sz val="9"/>
        <color theme="1"/>
        <rFont val="Calibri"/>
        <family val="2"/>
      </rPr>
      <t xml:space="preserve"> </t>
    </r>
    <r>
      <rPr>
        <sz val="9"/>
        <color theme="1"/>
        <rFont val="맑은 고딕"/>
        <family val="3"/>
        <charset val="129"/>
      </rPr>
      <t>작업하시기</t>
    </r>
    <r>
      <rPr>
        <sz val="9"/>
        <color theme="1"/>
        <rFont val="Calibri"/>
        <family val="2"/>
      </rPr>
      <t xml:space="preserve"> </t>
    </r>
    <r>
      <rPr>
        <sz val="9"/>
        <color theme="1"/>
        <rFont val="맑은 고딕"/>
        <family val="3"/>
        <charset val="129"/>
      </rPr>
      <t>바랍니다</t>
    </r>
    <r>
      <rPr>
        <sz val="9"/>
        <color theme="1"/>
        <rFont val="Calibri"/>
        <family val="2"/>
      </rPr>
      <t xml:space="preserve">. </t>
    </r>
    <r>
      <rPr>
        <sz val="9"/>
        <color theme="1"/>
        <rFont val="맑은 고딕"/>
        <family val="3"/>
        <charset val="129"/>
      </rPr>
      <t>만약</t>
    </r>
    <r>
      <rPr>
        <sz val="9"/>
        <color theme="1"/>
        <rFont val="Calibri"/>
        <family val="2"/>
      </rPr>
      <t xml:space="preserve"> XLGantt</t>
    </r>
    <r>
      <rPr>
        <sz val="9"/>
        <color theme="1"/>
        <rFont val="맑은 고딕"/>
        <family val="3"/>
        <charset val="129"/>
      </rPr>
      <t>파일인</t>
    </r>
    <r>
      <rPr>
        <sz val="9"/>
        <color theme="1"/>
        <rFont val="Calibri"/>
        <family val="2"/>
      </rPr>
      <t xml:space="preserve"> </t>
    </r>
    <r>
      <rPr>
        <sz val="9"/>
        <color theme="1"/>
        <rFont val="맑은 고딕"/>
        <family val="3"/>
        <charset val="129"/>
      </rPr>
      <t>경우에는</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가능합니다</t>
    </r>
  </si>
  <si>
    <r>
      <rPr>
        <sz val="9"/>
        <color theme="1"/>
        <rFont val="맑은 고딕"/>
        <family val="3"/>
        <charset val="129"/>
      </rPr>
      <t>기본언어인</t>
    </r>
    <r>
      <rPr>
        <sz val="9"/>
        <color theme="1"/>
        <rFont val="Calibri"/>
        <family val="2"/>
      </rPr>
      <t xml:space="preserve"> English</t>
    </r>
    <r>
      <rPr>
        <sz val="9"/>
        <color theme="1"/>
        <rFont val="맑은 고딕"/>
        <family val="3"/>
        <charset val="129"/>
      </rPr>
      <t>와</t>
    </r>
    <r>
      <rPr>
        <sz val="9"/>
        <color theme="1"/>
        <rFont val="Calibri"/>
        <family val="2"/>
      </rPr>
      <t xml:space="preserve"> Korean</t>
    </r>
    <r>
      <rPr>
        <sz val="9"/>
        <color theme="1"/>
        <rFont val="맑은 고딕"/>
        <family val="3"/>
        <charset val="129"/>
      </rPr>
      <t>은</t>
    </r>
    <r>
      <rPr>
        <sz val="9"/>
        <color theme="1"/>
        <rFont val="Calibri"/>
        <family val="2"/>
      </rPr>
      <t xml:space="preserve"> </t>
    </r>
    <r>
      <rPr>
        <sz val="9"/>
        <color theme="1"/>
        <rFont val="맑은 고딕"/>
        <family val="3"/>
        <charset val="129"/>
      </rPr>
      <t>삭제할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</si>
  <si>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언어가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</si>
  <si>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Source</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</si>
  <si>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Target</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</si>
  <si>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Mapping</t>
    </r>
    <r>
      <rPr>
        <sz val="9"/>
        <color theme="1"/>
        <rFont val="맑은 고딕"/>
        <family val="3"/>
        <charset val="129"/>
      </rPr>
      <t>취소항목이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</si>
  <si>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한곳만</t>
    </r>
    <r>
      <rPr>
        <sz val="9"/>
        <color theme="1"/>
        <rFont val="Calibri"/>
        <family val="2"/>
      </rPr>
      <t xml:space="preserve"> </t>
    </r>
    <r>
      <rPr>
        <sz val="9"/>
        <color theme="1"/>
        <rFont val="맑은 고딕"/>
        <family val="3"/>
        <charset val="129"/>
      </rPr>
      <t>선택하세요</t>
    </r>
    <r>
      <rPr>
        <sz val="9"/>
        <color theme="1"/>
        <rFont val="Calibri"/>
        <family val="2"/>
      </rPr>
      <t xml:space="preserve">. </t>
    </r>
    <r>
      <rPr>
        <sz val="9"/>
        <color theme="1"/>
        <rFont val="맑은 고딕"/>
        <family val="3"/>
        <charset val="129"/>
      </rPr>
      <t>현재</t>
    </r>
    <r>
      <rPr>
        <sz val="9"/>
        <color theme="1"/>
        <rFont val="Calibri"/>
        <family val="2"/>
      </rPr>
      <t xml:space="preserve"> {}</t>
    </r>
    <r>
      <rPr>
        <sz val="9"/>
        <color theme="1"/>
        <rFont val="맑은 고딕"/>
        <family val="3"/>
        <charset val="129"/>
      </rPr>
      <t>곳이</t>
    </r>
    <r>
      <rPr>
        <sz val="9"/>
        <color theme="1"/>
        <rFont val="Calibri"/>
        <family val="2"/>
      </rPr>
      <t xml:space="preserve"> </t>
    </r>
    <r>
      <rPr>
        <sz val="9"/>
        <color theme="1"/>
        <rFont val="맑은 고딕"/>
        <family val="3"/>
        <charset val="129"/>
      </rPr>
      <t>선택되었습니다</t>
    </r>
    <r>
      <rPr>
        <sz val="9"/>
        <color theme="1"/>
        <rFont val="Calibri"/>
        <family val="2"/>
      </rPr>
      <t>.</t>
    </r>
  </si>
  <si>
    <r>
      <rPr>
        <sz val="9"/>
        <color theme="1"/>
        <rFont val="맑은 고딕"/>
        <family val="3"/>
        <charset val="129"/>
      </rPr>
      <t>날짜</t>
    </r>
    <phoneticPr fontId="1" type="noConversion"/>
  </si>
  <si>
    <r>
      <rPr>
        <sz val="9"/>
        <color theme="1"/>
        <rFont val="맑은 고딕"/>
        <family val="3"/>
        <charset val="129"/>
      </rPr>
      <t>요일</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</si>
  <si>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t>
    </r>
    <r>
      <rPr>
        <sz val="9"/>
        <color theme="1"/>
        <rFont val="맑은 고딕"/>
        <family val="3"/>
        <charset val="129"/>
      </rPr>
      <t>요일</t>
    </r>
    <r>
      <rPr>
        <sz val="9"/>
        <color theme="1"/>
        <rFont val="Calibri"/>
        <family val="2"/>
      </rPr>
      <t xml:space="preserve"> </t>
    </r>
    <r>
      <rPr>
        <sz val="9"/>
        <color theme="1"/>
        <rFont val="맑은 고딕"/>
        <family val="3"/>
        <charset val="129"/>
      </rPr>
      <t>표시방법</t>
    </r>
    <phoneticPr fontId="1" type="noConversion"/>
  </si>
  <si>
    <r>
      <t>WBS</t>
    </r>
    <r>
      <rPr>
        <sz val="9"/>
        <color theme="1"/>
        <rFont val="맑은 고딕"/>
        <family val="3"/>
        <charset val="129"/>
      </rPr>
      <t>열</t>
    </r>
    <r>
      <rPr>
        <sz val="9"/>
        <color theme="1"/>
        <rFont val="Calibri"/>
        <family val="2"/>
      </rPr>
      <t xml:space="preserve"> </t>
    </r>
    <r>
      <rPr>
        <sz val="9"/>
        <color theme="1"/>
        <rFont val="맑은 고딕"/>
        <family val="3"/>
        <charset val="129"/>
      </rPr>
      <t>정렬</t>
    </r>
    <phoneticPr fontId="1" type="noConversion"/>
  </si>
  <si>
    <r>
      <rPr>
        <sz val="9"/>
        <color theme="1"/>
        <rFont val="맑은 고딕"/>
        <family val="3"/>
        <charset val="129"/>
      </rPr>
      <t>왼쪽</t>
    </r>
    <phoneticPr fontId="1" type="noConversion"/>
  </si>
  <si>
    <r>
      <rPr>
        <sz val="9"/>
        <color theme="1"/>
        <rFont val="맑은 고딕"/>
        <family val="3"/>
        <charset val="129"/>
      </rPr>
      <t>가운데</t>
    </r>
    <phoneticPr fontId="1" type="noConversion"/>
  </si>
  <si>
    <r>
      <rPr>
        <sz val="9"/>
        <color theme="1"/>
        <rFont val="맑은 고딕"/>
        <family val="3"/>
        <charset val="129"/>
      </rPr>
      <t>오른쪽</t>
    </r>
    <phoneticPr fontId="1" type="noConversion"/>
  </si>
  <si>
    <r>
      <rPr>
        <sz val="9"/>
        <color theme="1"/>
        <rFont val="맑은 고딕"/>
        <family val="3"/>
        <charset val="129"/>
      </rPr>
      <t>동일한</t>
    </r>
    <r>
      <rPr>
        <sz val="9"/>
        <color theme="1"/>
        <rFont val="Calibri"/>
        <family val="2"/>
      </rPr>
      <t xml:space="preserve"> </t>
    </r>
    <r>
      <rPr>
        <sz val="9"/>
        <color theme="1"/>
        <rFont val="맑은 고딕"/>
        <family val="3"/>
        <charset val="129"/>
      </rPr>
      <t>필드명이</t>
    </r>
    <r>
      <rPr>
        <sz val="9"/>
        <color theme="1"/>
        <rFont val="Calibri"/>
        <family val="2"/>
      </rPr>
      <t xml:space="preserve"> </t>
    </r>
    <r>
      <rPr>
        <sz val="9"/>
        <color theme="1"/>
        <rFont val="맑은 고딕"/>
        <family val="3"/>
        <charset val="129"/>
      </rPr>
      <t>존재합니다</t>
    </r>
    <r>
      <rPr>
        <sz val="9"/>
        <color theme="1"/>
        <rFont val="Calibri"/>
        <family val="2"/>
      </rPr>
      <t>.</t>
    </r>
    <phoneticPr fontId="1" type="noConversion"/>
  </si>
  <si>
    <r>
      <rPr>
        <sz val="9"/>
        <color theme="1"/>
        <rFont val="맑은 고딕"/>
        <family val="3"/>
        <charset val="129"/>
      </rPr>
      <t>수식셀</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</si>
  <si>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월</t>
    </r>
    <r>
      <rPr>
        <sz val="9"/>
        <color theme="1"/>
        <rFont val="Calibri"/>
        <family val="2"/>
      </rPr>
      <t xml:space="preserve"> </t>
    </r>
    <r>
      <rPr>
        <sz val="9"/>
        <color theme="1"/>
        <rFont val="맑은 고딕"/>
        <family val="3"/>
        <charset val="129"/>
      </rPr>
      <t>평균</t>
    </r>
    <r>
      <rPr>
        <sz val="9"/>
        <color theme="1"/>
        <rFont val="Calibri"/>
        <family val="2"/>
      </rPr>
      <t xml:space="preserve"> </t>
    </r>
    <r>
      <rPr>
        <sz val="9"/>
        <color theme="1"/>
        <rFont val="맑은 고딕"/>
        <family val="3"/>
        <charset val="129"/>
      </rPr>
      <t>근무일수</t>
    </r>
    <phoneticPr fontId="1" type="noConversion"/>
  </si>
  <si>
    <r>
      <rPr>
        <sz val="9"/>
        <color theme="1"/>
        <rFont val="맑은 고딕"/>
        <family val="3"/>
        <charset val="129"/>
      </rPr>
      <t>프린트</t>
    </r>
    <r>
      <rPr>
        <sz val="9"/>
        <color theme="1"/>
        <rFont val="Calibri"/>
        <family val="2"/>
      </rPr>
      <t xml:space="preserve"> </t>
    </r>
    <r>
      <rPr>
        <sz val="9"/>
        <color theme="1"/>
        <rFont val="맑은 고딕"/>
        <family val="3"/>
        <charset val="129"/>
      </rPr>
      <t>영역</t>
    </r>
    <r>
      <rPr>
        <sz val="9"/>
        <color theme="1"/>
        <rFont val="Calibri"/>
        <family val="2"/>
      </rPr>
      <t xml:space="preserve"> </t>
    </r>
    <r>
      <rPr>
        <sz val="9"/>
        <color theme="1"/>
        <rFont val="맑은 고딕"/>
        <family val="3"/>
        <charset val="129"/>
      </rPr>
      <t>여유</t>
    </r>
    <r>
      <rPr>
        <sz val="9"/>
        <color theme="1"/>
        <rFont val="Calibri"/>
        <family val="2"/>
      </rPr>
      <t xml:space="preserve"> </t>
    </r>
    <r>
      <rPr>
        <sz val="9"/>
        <color theme="1"/>
        <rFont val="맑은 고딕"/>
        <family val="3"/>
        <charset val="129"/>
      </rPr>
      <t>공간</t>
    </r>
    <phoneticPr fontId="1" type="noConversion"/>
  </si>
  <si>
    <r>
      <t xml:space="preserve">Schedule </t>
    </r>
    <r>
      <rPr>
        <sz val="9"/>
        <color theme="1"/>
        <rFont val="맑은 고딕"/>
        <family val="3"/>
        <charset val="129"/>
      </rPr>
      <t>시트</t>
    </r>
    <r>
      <rPr>
        <sz val="9"/>
        <color theme="1"/>
        <rFont val="Calibri"/>
        <family val="2"/>
      </rPr>
      <t xml:space="preserve"> 1-4</t>
    </r>
    <r>
      <rPr>
        <sz val="9"/>
        <color theme="1"/>
        <rFont val="맑은 고딕"/>
        <family val="3"/>
        <charset val="129"/>
      </rPr>
      <t>행의</t>
    </r>
    <r>
      <rPr>
        <sz val="9"/>
        <color theme="1"/>
        <rFont val="Calibri"/>
        <family val="2"/>
      </rPr>
      <t xml:space="preserve"> </t>
    </r>
    <r>
      <rPr>
        <sz val="9"/>
        <color theme="1"/>
        <rFont val="맑은 고딕"/>
        <family val="3"/>
        <charset val="129"/>
      </rPr>
      <t>높이를</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조정</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</si>
  <si>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t>
    </r>
    <phoneticPr fontId="1" type="noConversion"/>
  </si>
  <si>
    <t>Setting WBS Area and Color Theme</t>
  </si>
  <si>
    <r>
      <t>WBS</t>
    </r>
    <r>
      <rPr>
        <sz val="9"/>
        <color theme="1"/>
        <rFont val="맑은 고딕"/>
        <family val="2"/>
        <charset val="129"/>
      </rPr>
      <t>영역</t>
    </r>
    <r>
      <rPr>
        <sz val="9"/>
        <color theme="1"/>
        <rFont val="Calibri"/>
        <family val="2"/>
      </rPr>
      <t xml:space="preserve">, </t>
    </r>
    <r>
      <rPr>
        <sz val="9"/>
        <color theme="1"/>
        <rFont val="맑은 고딕"/>
        <family val="2"/>
        <charset val="129"/>
      </rPr>
      <t>컬러테마</t>
    </r>
    <r>
      <rPr>
        <sz val="9"/>
        <color theme="1"/>
        <rFont val="Calibri"/>
        <family val="2"/>
      </rPr>
      <t xml:space="preserve"> </t>
    </r>
    <r>
      <rPr>
        <sz val="9"/>
        <color theme="1"/>
        <rFont val="맑은 고딕"/>
        <family val="2"/>
        <charset val="129"/>
      </rPr>
      <t>설정</t>
    </r>
    <phoneticPr fontId="1" type="noConversion"/>
  </si>
  <si>
    <t>You can select the workload calculation method.</t>
    <phoneticPr fontId="1" type="noConversion"/>
  </si>
  <si>
    <t>You can set the appearance and color of the XLGantt.</t>
    <phoneticPr fontId="1" type="noConversion"/>
  </si>
  <si>
    <t>작업량 계산 방식을 선택할 수 있다.</t>
    <phoneticPr fontId="1" type="noConversion"/>
  </si>
  <si>
    <t>엑셀간트의 모양과 색상을 지정할 수 있다.</t>
    <phoneticPr fontId="1" type="noConversion"/>
  </si>
  <si>
    <r>
      <rPr>
        <sz val="9"/>
        <color theme="1"/>
        <rFont val="맑은 고딕"/>
        <family val="3"/>
        <charset val="129"/>
      </rPr>
      <t>엑셀간트</t>
    </r>
    <r>
      <rPr>
        <sz val="9"/>
        <color theme="1"/>
        <rFont val="Calibri"/>
        <family val="2"/>
      </rPr>
      <t>(XLGantt)</t>
    </r>
    <r>
      <rPr>
        <sz val="9"/>
        <color theme="1"/>
        <rFont val="맑은 고딕"/>
        <family val="3"/>
        <charset val="129"/>
      </rPr>
      <t>는</t>
    </r>
    <r>
      <rPr>
        <sz val="9"/>
        <color theme="1"/>
        <rFont val="Calibri"/>
        <family val="2"/>
      </rPr>
      <t xml:space="preserve"> </t>
    </r>
    <r>
      <rPr>
        <sz val="9"/>
        <color theme="1"/>
        <rFont val="맑은 고딕"/>
        <family val="3"/>
        <charset val="129"/>
      </rPr>
      <t>마이크로소프트</t>
    </r>
    <r>
      <rPr>
        <sz val="9"/>
        <color theme="1"/>
        <rFont val="Calibri"/>
        <family val="2"/>
      </rPr>
      <t xml:space="preserve"> </t>
    </r>
    <r>
      <rPr>
        <sz val="9"/>
        <color theme="1"/>
        <rFont val="맑은 고딕"/>
        <family val="3"/>
        <charset val="129"/>
      </rPr>
      <t>엑셀에서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일정관리를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있도록</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프로그램이며</t>
    </r>
    <r>
      <rPr>
        <sz val="9"/>
        <color theme="1"/>
        <rFont val="Calibri"/>
        <family val="2"/>
      </rPr>
      <t xml:space="preserve"> </t>
    </r>
    <r>
      <rPr>
        <sz val="9"/>
        <color theme="1"/>
        <rFont val="맑은 고딕"/>
        <family val="3"/>
        <charset val="129"/>
      </rPr>
      <t>아래와</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구성되어</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엑셀</t>
    </r>
    <r>
      <rPr>
        <sz val="9"/>
        <color theme="1"/>
        <rFont val="Calibri"/>
        <family val="2"/>
      </rPr>
      <t xml:space="preserve"> VBA</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프로그램이므로</t>
    </r>
    <r>
      <rPr>
        <sz val="9"/>
        <color theme="1"/>
        <rFont val="Calibri"/>
        <family val="2"/>
      </rPr>
      <t xml:space="preserve"> </t>
    </r>
    <r>
      <rPr>
        <sz val="9"/>
        <color theme="1"/>
        <rFont val="맑은 고딕"/>
        <family val="3"/>
        <charset val="129"/>
      </rPr>
      <t>설치가</t>
    </r>
    <r>
      <rPr>
        <sz val="9"/>
        <color theme="1"/>
        <rFont val="Calibri"/>
        <family val="2"/>
      </rPr>
      <t xml:space="preserve"> </t>
    </r>
    <r>
      <rPr>
        <sz val="9"/>
        <color theme="1"/>
        <rFont val="맑은 고딕"/>
        <family val="3"/>
        <charset val="129"/>
      </rPr>
      <t>필요없고</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실행하면</t>
    </r>
    <r>
      <rPr>
        <sz val="9"/>
        <color theme="1"/>
        <rFont val="Calibri"/>
        <family val="2"/>
      </rPr>
      <t xml:space="preserve"> </t>
    </r>
    <r>
      <rPr>
        <sz val="9"/>
        <color theme="1"/>
        <rFont val="맑은 고딕"/>
        <family val="3"/>
        <charset val="129"/>
      </rPr>
      <t>됩니다</t>
    </r>
    <r>
      <rPr>
        <sz val="9"/>
        <color theme="1"/>
        <rFont val="Calibri"/>
        <family val="2"/>
      </rPr>
      <t>.</t>
    </r>
    <phoneticPr fontId="1" type="noConversion"/>
  </si>
  <si>
    <t>https://xlworks.io/xlgantt-howto-14-workloads/</t>
    <phoneticPr fontId="1" type="noConversion"/>
  </si>
  <si>
    <t>https://xlworks.io/xlgantt-howto-15-color-theme/</t>
    <phoneticPr fontId="1" type="noConversion"/>
  </si>
  <si>
    <t>https://xlworks.net/xlgantt-howto-14-workloads/</t>
    <phoneticPr fontId="1" type="noConversion"/>
  </si>
  <si>
    <t>https://xlworks.net/xlgantt-howto-15-color-theme/</t>
    <phoneticPr fontId="1" type="noConversion"/>
  </si>
  <si>
    <t>G</t>
  </si>
  <si>
    <t>OG</t>
  </si>
  <si>
    <t>XLGanttFileCalcMode</t>
  </si>
  <si>
    <t>C:\Program Files\Adobe\Acrobat DC\Acrobat\acrobat.exe</t>
    <phoneticPr fontId="1" type="noConversion"/>
  </si>
  <si>
    <t>Setting Task Dependencies</t>
    <phoneticPr fontId="1" type="noConversion"/>
  </si>
  <si>
    <t>작업 의존관계 설정</t>
    <phoneticPr fontId="1" type="noConversion"/>
  </si>
  <si>
    <t>You can set the Task Dependencies(FS,SS,FF,SF).</t>
    <phoneticPr fontId="1" type="noConversion"/>
  </si>
  <si>
    <t>https://xlworks.io/xlgantt-howto-16-task-dependencies/</t>
    <phoneticPr fontId="1" type="noConversion"/>
  </si>
  <si>
    <t>https://xlworks.net/xlgantt-howto-16-task-dependencies/</t>
    <phoneticPr fontId="1" type="noConversion"/>
  </si>
  <si>
    <t>작업 의존관계(FS,SS,FF,SF)를 설정할 수 있다.</t>
    <phoneticPr fontId="1" type="noConversion"/>
  </si>
  <si>
    <t>2022년 설연휴</t>
    <phoneticPr fontId="1" type="noConversion"/>
  </si>
  <si>
    <t>2022년 설날</t>
    <phoneticPr fontId="1" type="noConversion"/>
  </si>
  <si>
    <t>2022년 삼일절</t>
    <phoneticPr fontId="1" type="noConversion"/>
  </si>
  <si>
    <t>2022년 20대 대통령 선거</t>
    <phoneticPr fontId="1" type="noConversion"/>
  </si>
  <si>
    <t>2022년 어린이날</t>
    <phoneticPr fontId="1" type="noConversion"/>
  </si>
  <si>
    <t>2022년 지방선거</t>
    <phoneticPr fontId="1" type="noConversion"/>
  </si>
  <si>
    <t>2022년 현충일</t>
    <phoneticPr fontId="1" type="noConversion"/>
  </si>
  <si>
    <t>2022년 광복절</t>
    <phoneticPr fontId="1" type="noConversion"/>
  </si>
  <si>
    <t>2022년 추석연휴</t>
    <phoneticPr fontId="1" type="noConversion"/>
  </si>
  <si>
    <t>2022년 추석 대체공휴일</t>
    <phoneticPr fontId="1" type="noConversion"/>
  </si>
  <si>
    <t>2022년 개천철</t>
    <phoneticPr fontId="1" type="noConversion"/>
  </si>
  <si>
    <t>2022년 한글날 대체공휴일</t>
    <phoneticPr fontId="1" type="noConversion"/>
  </si>
  <si>
    <t>엑셀간트(XLGantt) - 엑셀 일정관리</t>
    <phoneticPr fontId="15"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</si>
  <si>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1" type="noConversion"/>
  </si>
  <si>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phoneticPr fontId="15" type="noConversion"/>
  </si>
  <si>
    <t>시트 구성</t>
    <phoneticPr fontId="15" type="noConversion"/>
  </si>
  <si>
    <t>작업과 일정을 입력하면 진척율이 계산되며 작업의 일정을 간트차트로 표시해 준다.</t>
    <phoneticPr fontId="1" type="noConversion"/>
  </si>
  <si>
    <t>작업량, 진척율 등을 볼 수 있다.</t>
    <phoneticPr fontId="1" type="noConversion"/>
  </si>
  <si>
    <t>담당별 진행율, Workload등 분석용 Report를 만들어서 보여준다.</t>
    <phoneticPr fontId="1" type="noConversion"/>
  </si>
  <si>
    <t>프로젝트의 휴무일을 설정한다.</t>
    <phoneticPr fontId="1" type="noConversion"/>
  </si>
  <si>
    <t>Workload data를 주별/월별로 만들어 준다. 피벗 등의 기능으로 사용자가 원하는대로 분석을 할 수 있다.</t>
    <phoneticPr fontId="1" type="noConversion"/>
  </si>
  <si>
    <t>(숨겨진 시트) 언어별 번역이 들어 있다.</t>
    <phoneticPr fontId="1" type="noConversion"/>
  </si>
  <si>
    <t>사용법</t>
    <phoneticPr fontId="15" type="noConversion"/>
  </si>
  <si>
    <t>간단 사용법</t>
    <phoneticPr fontId="1" type="noConversion"/>
  </si>
  <si>
    <t>간트차트 표시방법 설정</t>
    <phoneticPr fontId="1" type="noConversion"/>
  </si>
  <si>
    <t>프로젝트 전체 진행상황 파악하기</t>
    <phoneticPr fontId="1" type="noConversion"/>
  </si>
  <si>
    <t>분석 리포트</t>
    <phoneticPr fontId="1" type="noConversion"/>
  </si>
  <si>
    <t>일정계획 변경관리</t>
    <phoneticPr fontId="1" type="noConversion"/>
  </si>
  <si>
    <t>산출물</t>
    <phoneticPr fontId="1" type="noConversion"/>
  </si>
  <si>
    <t>Microsoft Outlook작업, 일정등록</t>
    <phoneticPr fontId="1" type="noConversion"/>
  </si>
  <si>
    <t>다국어 지원</t>
    <phoneticPr fontId="1" type="noConversion"/>
  </si>
  <si>
    <t>다른 파일에서 일정 가져오기</t>
    <phoneticPr fontId="1" type="noConversion"/>
  </si>
  <si>
    <t>Excel기능과 통합</t>
    <phoneticPr fontId="1" type="noConversion"/>
  </si>
  <si>
    <t>작업량 계산</t>
    <phoneticPr fontId="1" type="noConversion"/>
  </si>
  <si>
    <t>WBS영역, 컬러테마 설정</t>
    <phoneticPr fontId="1" type="noConversion"/>
  </si>
  <si>
    <t>기능을 간단히 빨리 익히고 싶으면 “간단 사용법”을 참고한다</t>
    <phoneticPr fontId="1" type="noConversion"/>
  </si>
  <si>
    <t>작업명, 시작일, 완료일, 진척율을 입력하면 휴무일, 가중치를 고려하여 자동으로 작업기간, 계획진척율, 실적진척율 등이 계산된다.</t>
    <phoneticPr fontId="1" type="noConversion"/>
  </si>
  <si>
    <t>Bar chart형태로 간트차트를 보여주며 여러 가지 표시방법을 옵션에서 설정할 수 있다.</t>
    <phoneticPr fontId="1" type="noConversion"/>
  </si>
  <si>
    <t>진척율을 이용하여 프로젝트 전체 진행상황을 파악할 수 있다.</t>
    <phoneticPr fontId="1" type="noConversion"/>
  </si>
  <si>
    <t>프로젝트의 현황을 파악할 수 있는 진행율, Workload 등의 분석 리포트와 분석용 Workload data를 제공한다.</t>
    <phoneticPr fontId="1"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</si>
  <si>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1"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</si>
  <si>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1" type="noConversion"/>
  </si>
  <si>
    <t>엑셀간트에서는 Schedule시트에 입력되어 있는 작업을 Microsoft Outlook에 작업이나 일정으로 등록할 수 있는 기능을 제공한다(단, PC에 Microsoft Outlook이 설치되어 있어야 한다).</t>
    <phoneticPr fontId="1" type="noConversion"/>
  </si>
  <si>
    <t>엑셀간트는 다국어를 지원하는데 프로그램을 수정하지 않고 여러 다국어를 추가할 수 있다. 현재는 한국어, 영어 2개 국어가 추가되어 있다.</t>
    <phoneticPr fontId="1" type="noConversion"/>
  </si>
  <si>
    <t>엑셀간트에서는 엑셀간트(XLGantt) 또는 일반 엑셀파일로 만들어진 일정을 가져오는 기능을 제공한다.</t>
    <phoneticPr fontId="1" type="noConversion"/>
  </si>
  <si>
    <t>한주의 시작요일 지정, 휴무일 설정, 주차표시 기능을 제공한다.
리본메뉴 &gt; XLGantt – Project Scheduler &gt; 옵션 &gt; “Calendar” 탭에서 설정할 수 있다.</t>
    <phoneticPr fontId="1"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</si>
  <si>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1" type="noConversion"/>
  </si>
  <si>
    <t>도움말</t>
    <phoneticPr fontId="1" type="noConversion"/>
  </si>
  <si>
    <t>XLGantt Version 5.0.0 사용조건</t>
    <phoneticPr fontId="1"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</si>
  <si>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1" type="noConversion"/>
  </si>
  <si>
    <t>* 프로젝트 작업량과 진척율을 보여줍니다.</t>
    <phoneticPr fontId="3" type="noConversion"/>
  </si>
  <si>
    <t>* "스케줄업데이트" 버튼 클릭 시 아래 항목이 자동계산됩니다.</t>
    <phoneticPr fontId="3" type="noConversion"/>
  </si>
  <si>
    <t>프로젝트 전체 작업량</t>
    <phoneticPr fontId="3" type="noConversion"/>
  </si>
  <si>
    <t>프로젝트 전체의 작업량을 Man/Day로 표시한다. 가중치를 적용한 값이다.</t>
    <phoneticPr fontId="3" type="noConversion"/>
  </si>
  <si>
    <t>현재일까지 계획된 작업량</t>
    <phoneticPr fontId="3" type="noConversion"/>
  </si>
  <si>
    <t>해당작업의 시작일부터 현재일까지의 작업기간을 의미함(현재 날짜까지 진행되었어야 할 기간)</t>
    <phoneticPr fontId="3" type="noConversion"/>
  </si>
  <si>
    <t>실제 투입된 작업량</t>
    <phoneticPr fontId="3" type="noConversion"/>
  </si>
  <si>
    <t>일정변경 관리할 때 현재까지 실제로 투입된 작업기간을 표시함</t>
    <phoneticPr fontId="3" type="noConversion"/>
  </si>
  <si>
    <t>계획 진척율(A)</t>
    <phoneticPr fontId="3" type="noConversion"/>
  </si>
  <si>
    <t>현재날짜까지 계획된 진척율, WBS의 "계획진척율"의 전체 합계 진척율을 표시함</t>
    <phoneticPr fontId="3" type="noConversion"/>
  </si>
  <si>
    <t>실적 진척율(B)</t>
    <phoneticPr fontId="3" type="noConversion"/>
  </si>
  <si>
    <t>현재날짜까지 실제로 진행된 진척율, WBS의 "실적진척율"의 전체 합계 진척율을 표시함</t>
    <phoneticPr fontId="3" type="noConversion"/>
  </si>
  <si>
    <t>차이(B-A)</t>
    <phoneticPr fontId="3" type="noConversion"/>
  </si>
  <si>
    <t>양수이면 계획보다 빨리 진행, 음수이면 지연</t>
    <phoneticPr fontId="3" type="noConversion"/>
  </si>
  <si>
    <t>시작일</t>
  </si>
  <si>
    <t>완료일</t>
  </si>
  <si>
    <t xml:space="preserve"> 프로젝트 휴무일 Calendar 설정</t>
    <phoneticPr fontId="3"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</si>
  <si>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3" type="noConversion"/>
  </si>
  <si>
    <t>표준캘린더</t>
    <phoneticPr fontId="3" type="noConversion"/>
  </si>
  <si>
    <t>사용자정의 캘린더1</t>
    <phoneticPr fontId="3" type="noConversion"/>
  </si>
  <si>
    <t>사용자정의 캘린더2</t>
    <phoneticPr fontId="3" type="noConversion"/>
  </si>
  <si>
    <t>휴무일명</t>
    <phoneticPr fontId="3" type="noConversion"/>
  </si>
  <si>
    <t>휴무일자</t>
    <phoneticPr fontId="3" type="noConversion"/>
  </si>
  <si>
    <t>더 이상 입력불가</t>
    <phoneticPr fontId="3" type="noConversion"/>
  </si>
  <si>
    <t>1.1.1</t>
  </si>
  <si>
    <t>1.1.2</t>
  </si>
  <si>
    <t>설계</t>
  </si>
  <si>
    <t>1.2.1</t>
  </si>
  <si>
    <t>1.2.2</t>
  </si>
  <si>
    <t>개발</t>
  </si>
  <si>
    <t>W13</t>
  </si>
  <si>
    <t>1.2</t>
  </si>
  <si>
    <t>프로젝트 관리</t>
  </si>
  <si>
    <t>2.1</t>
  </si>
  <si>
    <t>2.2</t>
  </si>
  <si>
    <t>2.3</t>
  </si>
  <si>
    <t>2.4</t>
  </si>
  <si>
    <t>W9</t>
  </si>
  <si>
    <t>W17</t>
  </si>
  <si>
    <t>PDF</t>
    <phoneticPr fontId="1" type="noConversion"/>
  </si>
  <si>
    <t>3</t>
  </si>
  <si>
    <t>4</t>
  </si>
  <si>
    <t>6</t>
  </si>
  <si>
    <t>5</t>
  </si>
  <si>
    <t>담당</t>
  </si>
  <si>
    <t>파워포인트</t>
    <phoneticPr fontId="1" type="noConversion"/>
  </si>
  <si>
    <t>엑셀</t>
    <phoneticPr fontId="1" type="noConversion"/>
  </si>
  <si>
    <t>pdf</t>
    <phoneticPr fontId="1" type="noConversion"/>
  </si>
  <si>
    <t>W4</t>
  </si>
  <si>
    <t>담당별_x000D_
진행율</t>
  </si>
  <si>
    <t>* 담당별로 투입된 Task와 총작업량, 계획작업량, 진척작업을 Man-day로 보여주고, 계획/실적 진행율을 보여줍니다.</t>
  </si>
  <si>
    <t>* "담당별진행율" 메뉴를 클릭해야 내용이 갱신됩니다.</t>
  </si>
  <si>
    <t>작업</t>
  </si>
  <si>
    <t>자원배정비율</t>
  </si>
  <si>
    <t>총작업량(A)_x000D_
Man-day</t>
  </si>
  <si>
    <t>계획작업량(B)_x000D_
Man-day</t>
  </si>
  <si>
    <t>실적기성( C )_x000D_
Man-day</t>
  </si>
  <si>
    <t>계획(B/A)</t>
  </si>
  <si>
    <t>실적(C/A)</t>
  </si>
  <si>
    <t>차이(실적-계획)</t>
  </si>
  <si>
    <t>실제시작일</t>
  </si>
  <si>
    <t>실제완료일</t>
  </si>
  <si>
    <t>실제 총작업량_x000D_
Man-day</t>
  </si>
  <si>
    <t>총합계</t>
  </si>
  <si>
    <t>총_x000D_
기간</t>
    <phoneticPr fontId="3" type="noConversion"/>
  </si>
  <si>
    <t>실적*</t>
    <phoneticPr fontId="3" type="noConversion"/>
  </si>
  <si>
    <t>프로젝트 진척율 - 일정변경 관리할때</t>
    <phoneticPr fontId="3" type="noConversion"/>
  </si>
  <si>
    <t>DEFINED</t>
    <phoneticPr fontId="1" type="noConversion"/>
  </si>
  <si>
    <t>자동지정</t>
    <phoneticPr fontId="1" type="noConversion"/>
  </si>
  <si>
    <t>워드</t>
    <phoneticPr fontId="1" type="noConversion"/>
  </si>
  <si>
    <t>F</t>
    <phoneticPr fontId="1" type="noConversion"/>
  </si>
  <si>
    <t>컴즈 사내 프로젝트 WBS (인트라넷 + HR)</t>
    <phoneticPr fontId="1" type="noConversion"/>
  </si>
  <si>
    <t>요구사항분석</t>
  </si>
  <si>
    <t>변화관리</t>
  </si>
  <si>
    <t>기획</t>
  </si>
  <si>
    <t>IA재구성</t>
  </si>
  <si>
    <t>주요페이지</t>
  </si>
  <si>
    <t>상세페이지</t>
  </si>
  <si>
    <t>변경관리</t>
  </si>
  <si>
    <t>디자인</t>
  </si>
  <si>
    <t>마스터페이지</t>
  </si>
  <si>
    <t>디자인시안</t>
  </si>
  <si>
    <t>주요 페이지 시안</t>
  </si>
  <si>
    <t>퍼블리싱</t>
  </si>
  <si>
    <t>공통(환경설정)</t>
  </si>
  <si>
    <t>마스터 페이지</t>
  </si>
  <si>
    <t>채용</t>
  </si>
  <si>
    <t>인사</t>
  </si>
  <si>
    <t>조직</t>
  </si>
  <si>
    <t>프로젝트</t>
  </si>
  <si>
    <t>보고서</t>
  </si>
  <si>
    <t>관리자</t>
  </si>
  <si>
    <t>사용자 관리</t>
  </si>
  <si>
    <t>메뉴 관리</t>
  </si>
  <si>
    <t>권한 관리</t>
  </si>
  <si>
    <t>아키텍처</t>
  </si>
  <si>
    <t>어플리케이션</t>
  </si>
  <si>
    <t>데이터베이스</t>
  </si>
  <si>
    <t>인터페이스(그룹웨어)</t>
  </si>
  <si>
    <t>인프라 구성</t>
  </si>
  <si>
    <t>gitlab</t>
  </si>
  <si>
    <t>웹서버</t>
  </si>
  <si>
    <t>DB서버</t>
  </si>
  <si>
    <t>Storage</t>
  </si>
  <si>
    <t>배포환경</t>
  </si>
  <si>
    <t>공통</t>
  </si>
  <si>
    <t>공통페이지</t>
  </si>
  <si>
    <t>인증</t>
  </si>
  <si>
    <t>GNB</t>
  </si>
  <si>
    <t>LNB</t>
  </si>
  <si>
    <t>표준페이지</t>
  </si>
  <si>
    <t>인터페이스</t>
  </si>
  <si>
    <t>내부인터페이스</t>
  </si>
  <si>
    <t>인사발령 재실행</t>
  </si>
  <si>
    <t>조직개편 재실행</t>
  </si>
  <si>
    <t>인사통계 재실행</t>
  </si>
  <si>
    <t>프로젝트 통계 재실행</t>
  </si>
  <si>
    <t>외부인터페이스</t>
  </si>
  <si>
    <t>인사정보</t>
  </si>
  <si>
    <t>조직정보</t>
  </si>
  <si>
    <t>배치서비스</t>
  </si>
  <si>
    <t>인사발령</t>
  </si>
  <si>
    <t>조직개편</t>
  </si>
  <si>
    <t>인력통계</t>
  </si>
  <si>
    <t>프로젝트 통계</t>
  </si>
  <si>
    <t>인사정보 생성</t>
  </si>
  <si>
    <t>조직정보 생성</t>
  </si>
  <si>
    <t>설정</t>
  </si>
  <si>
    <t>공통코드 관리</t>
  </si>
  <si>
    <t>사용자 관리(관리자)</t>
  </si>
  <si>
    <t>접속 관리</t>
  </si>
  <si>
    <t>배치이력관리</t>
  </si>
  <si>
    <t>인사 발령</t>
  </si>
  <si>
    <t>조직 개편</t>
  </si>
  <si>
    <t>인력 통계</t>
  </si>
  <si>
    <t>인사정보 통계</t>
  </si>
  <si>
    <t>조직정보 통계</t>
  </si>
  <si>
    <t>재실행</t>
  </si>
  <si>
    <t>검색</t>
  </si>
  <si>
    <t>기본정보</t>
  </si>
  <si>
    <t>상세정보</t>
  </si>
  <si>
    <t>인적사항</t>
  </si>
  <si>
    <t>학력정보</t>
  </si>
  <si>
    <t>경력정보</t>
  </si>
  <si>
    <t>지원이력</t>
  </si>
  <si>
    <t>기타</t>
  </si>
  <si>
    <t>인사정보등록</t>
  </si>
  <si>
    <t>가족사항</t>
  </si>
  <si>
    <t>자격증</t>
  </si>
  <si>
    <t>외부프로젝트</t>
  </si>
  <si>
    <t>사내프로젝트</t>
  </si>
  <si>
    <t>교육정보</t>
  </si>
  <si>
    <t>상벌정보</t>
  </si>
  <si>
    <t>프로필보기</t>
  </si>
  <si>
    <t>발령이력</t>
  </si>
  <si>
    <t>발령등록</t>
  </si>
  <si>
    <t>대상자선택</t>
  </si>
  <si>
    <t>발령</t>
  </si>
  <si>
    <t>승진</t>
  </si>
  <si>
    <t>직책</t>
  </si>
  <si>
    <t>부서이동</t>
  </si>
  <si>
    <t>휴직</t>
  </si>
  <si>
    <t>복직</t>
  </si>
  <si>
    <t>퇴직</t>
  </si>
  <si>
    <t>평가</t>
  </si>
  <si>
    <t>평가이력</t>
  </si>
  <si>
    <t>일괄등록</t>
  </si>
  <si>
    <t>발령취소</t>
  </si>
  <si>
    <t>역량관리</t>
  </si>
  <si>
    <t>업무역량</t>
  </si>
  <si>
    <t>도메인역량</t>
  </si>
  <si>
    <t>면담이력</t>
  </si>
  <si>
    <t>조직관리</t>
  </si>
  <si>
    <t>부서 Tree</t>
  </si>
  <si>
    <t>부서생성</t>
  </si>
  <si>
    <t>이름변경</t>
  </si>
  <si>
    <t>부서삭제</t>
  </si>
  <si>
    <t>조직 변경 이력</t>
  </si>
  <si>
    <t>개요</t>
  </si>
  <si>
    <t>참여인력</t>
  </si>
  <si>
    <t>프로필목록</t>
  </si>
  <si>
    <t>프로필수정</t>
  </si>
  <si>
    <t>PDF 저장</t>
  </si>
  <si>
    <t>통계</t>
  </si>
  <si>
    <t>인원현황</t>
  </si>
  <si>
    <t>투입인원현황</t>
  </si>
  <si>
    <t>테스트</t>
  </si>
  <si>
    <t>단위테스트</t>
  </si>
  <si>
    <t>오류 수정</t>
  </si>
  <si>
    <t>통합테스트</t>
  </si>
  <si>
    <t>운영전환</t>
  </si>
  <si>
    <t>서비스오픈</t>
  </si>
  <si>
    <t>데이터 등록</t>
  </si>
  <si>
    <t>서비스 오픈</t>
  </si>
  <si>
    <t>인수인계</t>
  </si>
  <si>
    <t>윤창민</t>
  </si>
  <si>
    <t>한수진</t>
  </si>
  <si>
    <t>조강래</t>
  </si>
  <si>
    <t>개발팀</t>
  </si>
  <si>
    <t>명동권</t>
  </si>
  <si>
    <t>이세림</t>
  </si>
  <si>
    <t>3.1</t>
  </si>
  <si>
    <t>3.2</t>
  </si>
  <si>
    <t>3.3</t>
  </si>
  <si>
    <t>4.1</t>
  </si>
  <si>
    <t>4.1.1</t>
  </si>
  <si>
    <t>4.2</t>
  </si>
  <si>
    <t>4.2.1</t>
  </si>
  <si>
    <t>4.2.2</t>
  </si>
  <si>
    <t>4.2.3</t>
  </si>
  <si>
    <t>4.2.4</t>
  </si>
  <si>
    <t>4.2.5</t>
  </si>
  <si>
    <t>4.2.6</t>
  </si>
  <si>
    <t>4.2.6.1</t>
  </si>
  <si>
    <t>4.2.6.2</t>
  </si>
  <si>
    <t>4.2.6.3</t>
  </si>
  <si>
    <t>4.3</t>
  </si>
  <si>
    <t>5.1</t>
  </si>
  <si>
    <t>5.2</t>
  </si>
  <si>
    <t>5.3</t>
  </si>
  <si>
    <t>5.4</t>
  </si>
  <si>
    <t>6.1</t>
  </si>
  <si>
    <t>6.2</t>
  </si>
  <si>
    <t>6.3</t>
  </si>
  <si>
    <t>6.4</t>
  </si>
  <si>
    <t>6.5</t>
  </si>
  <si>
    <t>7</t>
  </si>
  <si>
    <t>7.1</t>
  </si>
  <si>
    <t>7.1.1</t>
  </si>
  <si>
    <t>7.1.1.1</t>
  </si>
  <si>
    <t>7.1.1.2</t>
  </si>
  <si>
    <t>7.1.1.2.1</t>
  </si>
  <si>
    <t>7.1.1.2.2</t>
  </si>
  <si>
    <t>7.1.1.2.3</t>
  </si>
  <si>
    <t>7.1.2</t>
  </si>
  <si>
    <t>7.1.2.1</t>
  </si>
  <si>
    <t>7.1.2.1.1</t>
  </si>
  <si>
    <t>7.1.2.1.2</t>
  </si>
  <si>
    <t>7.1.2.1.3</t>
  </si>
  <si>
    <t>7.1.2.1.4</t>
  </si>
  <si>
    <t>7.1.2.2</t>
  </si>
  <si>
    <t>7.1.2.2.1</t>
  </si>
  <si>
    <t>7.1.2.2.2</t>
  </si>
  <si>
    <t>7.1.2.3</t>
  </si>
  <si>
    <t>7.1.2.3.1</t>
  </si>
  <si>
    <t>7.1.2.3.2</t>
  </si>
  <si>
    <t>7.1.2.3.3</t>
  </si>
  <si>
    <t>7.1.2.3.4</t>
  </si>
  <si>
    <t>7.1.2.3.5</t>
  </si>
  <si>
    <t>7.1.2.3.6</t>
  </si>
  <si>
    <t>7.1.2.4</t>
  </si>
  <si>
    <t>7.1.2.4.1</t>
  </si>
  <si>
    <t>7.1.2.4.2</t>
  </si>
  <si>
    <t>7.1.2.4.3</t>
  </si>
  <si>
    <t>7.1.2.4.4</t>
  </si>
  <si>
    <t>7.1.2.4.5</t>
  </si>
  <si>
    <t>7.1.2.4.6</t>
  </si>
  <si>
    <t>7.1.2.4.6.1</t>
  </si>
  <si>
    <t>7.1.2.4.6.2</t>
  </si>
  <si>
    <t>7.1.2.4.6.3</t>
  </si>
  <si>
    <t>7.1.2.4.6.4</t>
  </si>
  <si>
    <t>7.1.2.4.6.5</t>
  </si>
  <si>
    <t>7.1.2.4.6.6</t>
  </si>
  <si>
    <t>7.1.2.4.6.7</t>
  </si>
  <si>
    <t>7.1.2.5</t>
  </si>
  <si>
    <t>7.1.2.5.1</t>
  </si>
  <si>
    <t>7.1.2.5.2</t>
  </si>
  <si>
    <t>7.1.2.5.3</t>
  </si>
  <si>
    <t>7.1.2.5.3.1</t>
  </si>
  <si>
    <t>7.1.2.5.3.2</t>
  </si>
  <si>
    <t>7.1.2.5.3.3</t>
  </si>
  <si>
    <t>7.1.2.5.3.4</t>
  </si>
  <si>
    <t>7.1.2.5.3.5</t>
  </si>
  <si>
    <t>7.1.2.5.3.6</t>
  </si>
  <si>
    <t>7.1.2.5.4</t>
  </si>
  <si>
    <t>7.1.2.6</t>
  </si>
  <si>
    <t>7.1.2.6.1</t>
  </si>
  <si>
    <t>7.1.2.6.1.1</t>
  </si>
  <si>
    <t>7.1.2.6.1.2</t>
  </si>
  <si>
    <t>7.1.2.6.1.3</t>
  </si>
  <si>
    <t>7.1.2.6.1.3.1</t>
  </si>
  <si>
    <t>7.1.2.6.1.3.2</t>
  </si>
  <si>
    <t>7.1.2.6.1.3.3</t>
  </si>
  <si>
    <t>7.1.2.6.1.3.4</t>
  </si>
  <si>
    <t>7.1.2.6.1.3.5</t>
  </si>
  <si>
    <t>7.1.2.6.1.3.6</t>
  </si>
  <si>
    <t>7.1.2.6.1.3.7</t>
  </si>
  <si>
    <t>7.1.2.6.1.3.8</t>
  </si>
  <si>
    <t>7.1.2.6.1.3.9</t>
  </si>
  <si>
    <t>7.1.2.6.1.3.10</t>
  </si>
  <si>
    <t>7.1.2.6.1.4</t>
  </si>
  <si>
    <t>7.1.2.6.2</t>
  </si>
  <si>
    <t>7.1.2.6.2.1</t>
  </si>
  <si>
    <t>7.1.2.6.2.2</t>
  </si>
  <si>
    <t>7.1.2.6.2.2.1</t>
  </si>
  <si>
    <t>7.1.2.6.2.2.2</t>
  </si>
  <si>
    <t>7.1.2.6.2.2.2.1</t>
  </si>
  <si>
    <t>7.1.2.6.2.2.2.2</t>
  </si>
  <si>
    <t>7.1.2.6.2.2.2.3</t>
  </si>
  <si>
    <t>7.1.2.6.2.2.2.4</t>
  </si>
  <si>
    <t>7.1.2.6.2.2.2.5</t>
  </si>
  <si>
    <t>7.1.2.6.2.2.2.6</t>
  </si>
  <si>
    <t>7.1.2.7</t>
  </si>
  <si>
    <t>7.1.2.7.1</t>
  </si>
  <si>
    <t>7.1.2.7.2</t>
  </si>
  <si>
    <t>7.1.2.7.2.1</t>
  </si>
  <si>
    <t>7.1.2.7.3</t>
  </si>
  <si>
    <t>7.1.2.7.4</t>
  </si>
  <si>
    <t>7.1.2.7.5</t>
  </si>
  <si>
    <t>7.1.2.7.5.1</t>
  </si>
  <si>
    <t>7.1.2.7.5.2</t>
  </si>
  <si>
    <t>7.1.2.7.5.2.1</t>
  </si>
  <si>
    <t>7.1.2.7.5.2.2</t>
  </si>
  <si>
    <t>7.1.2.7.5.2.3</t>
  </si>
  <si>
    <t>7.1.2.7.5.2.4</t>
  </si>
  <si>
    <t>7.1.2.8</t>
  </si>
  <si>
    <t>7.1.2.8.1</t>
  </si>
  <si>
    <t>7.1.2.8.1.1</t>
  </si>
  <si>
    <t>7.1.2.8.1.2</t>
  </si>
  <si>
    <t>7.1.2.8.1.3</t>
  </si>
  <si>
    <t>7.1.2.8.1.4</t>
  </si>
  <si>
    <t>7.1.2.8.2</t>
  </si>
  <si>
    <t>7.1.2.9</t>
  </si>
  <si>
    <t>7.1.2.9.1</t>
  </si>
  <si>
    <t>7.1.2.9.2</t>
  </si>
  <si>
    <t>7.1.2.9.2.1</t>
  </si>
  <si>
    <t>7.1.2.9.2.2</t>
  </si>
  <si>
    <t>7.1.2.9.2.3</t>
  </si>
  <si>
    <t>7.1.2.10</t>
  </si>
  <si>
    <t>7.1.2.10.1</t>
  </si>
  <si>
    <t>7.1.2.10.1.1</t>
  </si>
  <si>
    <t>7.1.2.10.1.2</t>
  </si>
  <si>
    <t>7.1.2.10.1.3</t>
  </si>
  <si>
    <t>7.1.2.10.1.4</t>
  </si>
  <si>
    <t>7.1.2.10.2</t>
  </si>
  <si>
    <t>7.1.2.10.2.1</t>
  </si>
  <si>
    <t>7.1.2.10.2.2</t>
  </si>
  <si>
    <t>8</t>
  </si>
  <si>
    <t>8.1</t>
  </si>
  <si>
    <t>8.1.1</t>
  </si>
  <si>
    <t>8.1.2</t>
  </si>
  <si>
    <t>8.2</t>
  </si>
  <si>
    <t>8.2.1</t>
  </si>
  <si>
    <t>8.2.2</t>
  </si>
  <si>
    <t>9</t>
  </si>
  <si>
    <t>9.1</t>
  </si>
  <si>
    <t>9.1.1</t>
  </si>
  <si>
    <t>9.1.2</t>
  </si>
  <si>
    <t>9.2</t>
  </si>
  <si>
    <t>한수잔</t>
  </si>
  <si>
    <t>유아람</t>
  </si>
  <si>
    <t>형소담,유아람</t>
  </si>
  <si>
    <t>형소담</t>
  </si>
  <si>
    <t>남상범</t>
  </si>
  <si>
    <t>TFT</t>
  </si>
  <si>
    <t>TFT 요약</t>
  </si>
  <si>
    <t>개발팀 요약</t>
  </si>
  <si>
    <t>남상범 요약</t>
  </si>
  <si>
    <t>명동권 요약</t>
  </si>
  <si>
    <t>유아람 요약</t>
  </si>
  <si>
    <t>윤창민 요약</t>
  </si>
  <si>
    <t>이세림 요약</t>
  </si>
  <si>
    <t>조강래 요약</t>
  </si>
  <si>
    <t>한수진 요약</t>
  </si>
  <si>
    <t>형소담 요약</t>
  </si>
  <si>
    <t>4.1.2</t>
  </si>
  <si>
    <t>4.1.3</t>
  </si>
  <si>
    <t>4.1.4</t>
  </si>
  <si>
    <t>4.1.5</t>
  </si>
  <si>
    <t>4.1.6</t>
  </si>
  <si>
    <t>4.1.7</t>
  </si>
  <si>
    <t>4.1.8.1</t>
  </si>
  <si>
    <t>4.1.8.2</t>
  </si>
  <si>
    <t>4.1.8.3</t>
  </si>
  <si>
    <r>
      <t xml:space="preserve">XLGantt 5.0.0 ©XLWorks </t>
    </r>
    <r>
      <rPr>
        <b/>
        <sz val="9"/>
        <color rgb="FFFF8800"/>
        <rFont val="Calibri"/>
        <family val="2"/>
      </rPr>
      <t xml:space="preserve"> </t>
    </r>
    <r>
      <rPr>
        <b/>
        <sz val="9"/>
        <color rgb="FFFF8800"/>
        <rFont val="돋움"/>
        <family val="3"/>
        <charset val="129"/>
      </rPr>
      <t>월별보기</t>
    </r>
    <r>
      <rPr>
        <b/>
        <sz val="9"/>
        <color rgb="FFFF8800"/>
        <rFont val="Calibri"/>
        <family val="2"/>
      </rPr>
      <t xml:space="preserve">, Zoom 400%,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</si>
  <si>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HR 프로젝트</t>
  </si>
  <si>
    <t>TODAY</t>
    <phoneticPr fontId="1" type="noConversion"/>
  </si>
  <si>
    <t>09/01
W36</t>
  </si>
  <si>
    <t>10/01
W40</t>
  </si>
  <si>
    <t>11/01
W45</t>
  </si>
  <si>
    <t>12/01
W49</t>
  </si>
  <si>
    <t>2023
W1</t>
  </si>
  <si>
    <t>장영진,김희원,이현수</t>
  </si>
  <si>
    <t>컴즈 사내 프로젝트</t>
  </si>
  <si>
    <t>계획</t>
  </si>
  <si>
    <t>1.1.1.1</t>
  </si>
  <si>
    <t>1.1.1.2</t>
  </si>
  <si>
    <t>1.1.2.1</t>
  </si>
  <si>
    <t>1.1.2.2</t>
  </si>
  <si>
    <t>1.1.2.3</t>
  </si>
  <si>
    <t>1.1.2.4</t>
  </si>
  <si>
    <t>컴즈 인트라넷 구축</t>
  </si>
  <si>
    <t>범위 확정</t>
  </si>
  <si>
    <t>WBS 정의</t>
  </si>
  <si>
    <t>수행 계획 수립</t>
  </si>
  <si>
    <t>착수 보고</t>
  </si>
  <si>
    <t>진행</t>
  </si>
  <si>
    <t>실행 지시 및 관리</t>
  </si>
  <si>
    <t>실행 검토 / 변화 관리</t>
  </si>
  <si>
    <t>주간 보고 및 이슈 보고</t>
  </si>
  <si>
    <t>완료</t>
  </si>
  <si>
    <t>완료 준비</t>
  </si>
  <si>
    <t>검수</t>
  </si>
  <si>
    <t>완료 보고</t>
  </si>
  <si>
    <t>분석</t>
  </si>
  <si>
    <t>요구사항 분석</t>
  </si>
  <si>
    <t>패키지 Gap 분석</t>
  </si>
  <si>
    <t>시사점 및 설계 전략 도출</t>
  </si>
  <si>
    <t>기준정보 설계</t>
  </si>
  <si>
    <t>업무 프로세스 설계</t>
  </si>
  <si>
    <t>요건 및 구현방안 도출</t>
  </si>
  <si>
    <t>커스텀 기능 구성 설계</t>
  </si>
  <si>
    <t>신규/커스텀 기능 프로그램</t>
  </si>
  <si>
    <t>인터페이스 설계</t>
  </si>
  <si>
    <t>구현</t>
  </si>
  <si>
    <t>메뉴별 기능</t>
  </si>
  <si>
    <t>Microsoft Anzure 기반 개발 환경 구축</t>
  </si>
  <si>
    <t>From Oracle11g  to PostgreSQL 변환</t>
  </si>
  <si>
    <t>웹에디터 연동 (결재,게시판 등)</t>
  </si>
  <si>
    <t>포털</t>
  </si>
  <si>
    <t xml:space="preserve">Extjs4.0 표준 화면 적용  </t>
  </si>
  <si>
    <t>알림기능 (아이콘에 건수 표시하고, 클릭시  알림 목록 표시 및 내용보기화면으로 )</t>
  </si>
  <si>
    <t>전자결재</t>
  </si>
  <si>
    <t>전결 규정 정의 및 양식 파악</t>
  </si>
  <si>
    <t>전자결재 양식 설계(휴가신청서 외 10)</t>
  </si>
  <si>
    <t xml:space="preserve">개인문서함/부서문서함  분리구성 / 결재문서함 정리 커스터마이징 </t>
  </si>
  <si>
    <t>1.2.1.1</t>
  </si>
  <si>
    <t>1.2.1.2</t>
  </si>
  <si>
    <t>1.2.2.1</t>
  </si>
  <si>
    <t>1.2.2.2</t>
  </si>
  <si>
    <t>1.2.2.3</t>
  </si>
  <si>
    <t>게시판/공지사항</t>
  </si>
  <si>
    <t>공지사항 게시판 제공 / 접근권한관리</t>
  </si>
  <si>
    <t>최상단에 공지글 고정</t>
  </si>
  <si>
    <t>포토 갤러리 게시판 포함 게시판 생성 기능 개선</t>
  </si>
  <si>
    <t>자원예약관리</t>
  </si>
  <si>
    <t>전사 공유물에 대한 예약 관리</t>
  </si>
  <si>
    <t>일정 관리</t>
  </si>
  <si>
    <t>조직도 연동된 일정 관리 제공</t>
  </si>
  <si>
    <t>회사 공휴일 연동</t>
  </si>
  <si>
    <t>출퇴근 관리(신규)</t>
  </si>
  <si>
    <t>실제_x000D_
총기간</t>
    <phoneticPr fontId="3" type="noConversion"/>
  </si>
  <si>
    <t>출퇴근 체크, 출퇴근 제출</t>
  </si>
  <si>
    <t>휴가/휴직관리(신규)</t>
  </si>
  <si>
    <t>보고/증명서 관리(신규)</t>
  </si>
  <si>
    <t>모바일 (기존 + 신규)</t>
  </si>
  <si>
    <t>전자결재, 게시판, 일정 관리, 예약 관리, 구성원 정보, 공지 사항</t>
  </si>
  <si>
    <t>업무 보고</t>
  </si>
  <si>
    <t>통합 테스트</t>
  </si>
  <si>
    <t>준비</t>
  </si>
  <si>
    <t>수행</t>
  </si>
  <si>
    <t>매뉴얼 작성</t>
  </si>
  <si>
    <t>사용자 매뉴얼</t>
  </si>
  <si>
    <t>운영자 매뉴얼</t>
  </si>
  <si>
    <t>개발자 매뉴얼</t>
  </si>
  <si>
    <t>이행</t>
  </si>
  <si>
    <t>이행 계획 수립</t>
  </si>
  <si>
    <t>Azure 운영환경 전환</t>
  </si>
  <si>
    <t>오픈 및 안정화</t>
  </si>
  <si>
    <t>1.2.2.4</t>
  </si>
  <si>
    <t>장매화</t>
  </si>
  <si>
    <t>task_group</t>
    <phoneticPr fontId="3" type="noConversion"/>
  </si>
  <si>
    <t>시작일*</t>
    <phoneticPr fontId="3" type="noConversion"/>
  </si>
  <si>
    <t>완료일*</t>
    <phoneticPr fontId="3" type="noConversion"/>
  </si>
  <si>
    <t>Calendar</t>
    <phoneticPr fontId="3" type="noConversion"/>
  </si>
  <si>
    <t>계획_x000D_
작업량</t>
    <phoneticPr fontId="3" type="noConversion"/>
  </si>
  <si>
    <t>실제_x000D_
완료일</t>
    <phoneticPr fontId="3" type="noConversion"/>
  </si>
  <si>
    <t>실제_x000D_
총작업량</t>
    <phoneticPr fontId="3" type="noConversion"/>
  </si>
  <si>
    <t>{"TASK_FIRST_COL":"5","START_ROW":"5","WBS_AREA_LAST_COL":"31"}</t>
    <phoneticPr fontId="1" type="noConversion"/>
  </si>
  <si>
    <t>SCHEDULE_SHEET_POSITION:3545151617181920212223242526272829303132</t>
    <phoneticPr fontId="1" type="noConversion"/>
  </si>
  <si>
    <t>작업*</t>
    <phoneticPr fontId="3" type="noConversion"/>
  </si>
  <si>
    <t>비고</t>
    <phoneticPr fontId="3" type="noConversion"/>
  </si>
  <si>
    <t>가중치</t>
    <phoneticPr fontId="3" type="noConversion"/>
  </si>
  <si>
    <t>산출물</t>
    <phoneticPr fontId="3" type="noConversion"/>
  </si>
  <si>
    <t>실적기성</t>
    <phoneticPr fontId="3" type="noConversion"/>
  </si>
  <si>
    <t>실적기성(총기간 x 총실적진행율)</t>
    <phoneticPr fontId="3" type="noConversion"/>
  </si>
  <si>
    <t>reserved</t>
    <phoneticPr fontId="3" type="noConversion"/>
  </si>
  <si>
    <t>담당</t>
    <phoneticPr fontId="3" type="noConversion"/>
  </si>
  <si>
    <t>사업수행계획서</t>
  </si>
  <si>
    <t>장매화, 안용성</t>
  </si>
  <si>
    <t>송빈, 안용성</t>
  </si>
  <si>
    <t>WBS</t>
    <phoneticPr fontId="3" type="noConversion"/>
  </si>
  <si>
    <t>화면설계서</t>
  </si>
  <si>
    <t>권한별 포털 화면 디자인 및 퍼블(모바일포함) 1차</t>
  </si>
  <si>
    <t>권한별 포털 화면 디자인 및 퍼블(모바일포함) 2차</t>
  </si>
  <si>
    <t>송빈,안용성,컴즈</t>
  </si>
  <si>
    <t>김무량</t>
  </si>
  <si>
    <t>송빈</t>
  </si>
  <si>
    <t>이정아</t>
  </si>
  <si>
    <t>권한별 포털 화면구성 (메뉴,권한관리) 1차</t>
  </si>
  <si>
    <t>권한별 포털 화면구성 (메뉴,권한관리) 2차</t>
  </si>
  <si>
    <t>조직도 연동 (인사 DB) - 인사정보,부서, 직급(직책) 1차</t>
  </si>
  <si>
    <t>조직도 연동 (인사 DB) - 인사정보,부서, 직급(직책) 2차</t>
  </si>
  <si>
    <t>전자결재양식</t>
  </si>
  <si>
    <t>연차, 정기휴가(전일, 반일, 경조휴가, 휴일대체휴가, 출산휴가, 선휴가 등 휴가 사용일수 체크 기능 / 팀별, 개인별 설정,, 출퇴근 포함 근태 현황 통계 및 근무일수(시간) 통계 1차</t>
  </si>
  <si>
    <t>출퇴근 통계 관리 1차</t>
  </si>
  <si>
    <t>휴가신청서(전자결재 연동) 1차</t>
  </si>
  <si>
    <t>근태 데이터 관리 1차</t>
  </si>
  <si>
    <t>연차, 정기휴가(전일, 반일, 경조휴가, 휴일대체휴가, 출산휴가, 선휴가 등 휴가 사용일수 체크 기능 / 팀별, 개인별 설정,, 출퇴근 포함 근태 현황 통계 및 근무일수(시간) 통계 2차</t>
  </si>
  <si>
    <t>출퇴근 통계 관리 2차</t>
  </si>
  <si>
    <t>휴가신청서(전자결재 연동) 2차</t>
  </si>
  <si>
    <t>근태 데이터 관리 2차</t>
  </si>
  <si>
    <t>안용성</t>
  </si>
  <si>
    <t>휴가/휴직상황 1차</t>
  </si>
  <si>
    <t>휴가/휴직신청/사용내역 1차</t>
  </si>
  <si>
    <t>휴가/휴직상황 2차</t>
  </si>
  <si>
    <t>휴가/휴직신청/사용내역 2차</t>
  </si>
  <si>
    <t>팀별, 실별 보고 업무 관리 / 통계 1차</t>
  </si>
  <si>
    <t>재직증명서 등 증명서 발행 관리 1차</t>
  </si>
  <si>
    <t>팀별, 실별 보고 업무 관리 / 통계 2차</t>
  </si>
  <si>
    <t>재직증명서 등 증명서 발행 관리 2차</t>
  </si>
  <si>
    <t>송빈,안용성</t>
  </si>
  <si>
    <t>테스트 계획서</t>
  </si>
  <si>
    <t>장매화,안용성</t>
  </si>
  <si>
    <t>1.1.1.1.1</t>
  </si>
  <si>
    <t>1.1.1.1.2</t>
  </si>
  <si>
    <t>1.1.1.1.3</t>
  </si>
  <si>
    <t>1.1.1.1.4</t>
  </si>
  <si>
    <t>1.1.1.2.1</t>
  </si>
  <si>
    <t>1.1.1.2.2</t>
  </si>
  <si>
    <t>1.1.1.2.3</t>
  </si>
  <si>
    <t>1.1.1.3</t>
  </si>
  <si>
    <t>1.1.1.3.1</t>
  </si>
  <si>
    <t>1.1.1.3.2</t>
  </si>
  <si>
    <t>1.1.1.3.3</t>
  </si>
  <si>
    <t>1.1.2.1.1</t>
  </si>
  <si>
    <t>1.1.2.1.2</t>
  </si>
  <si>
    <t>1.1.2.1.3</t>
  </si>
  <si>
    <t>1.1.2.2.1</t>
  </si>
  <si>
    <t>1.1.2.2.2</t>
  </si>
  <si>
    <t>1.1.2.2.3</t>
  </si>
  <si>
    <t>1.1.2.2.4</t>
  </si>
  <si>
    <t>1.1.2.2.5</t>
  </si>
  <si>
    <t>1.1.2.2.6</t>
  </si>
  <si>
    <t>1.1.2.3.1</t>
  </si>
  <si>
    <t>1.1.2.3.1.1</t>
  </si>
  <si>
    <t>1.1.2.3.1.1.1</t>
  </si>
  <si>
    <t>1.1.2.3.1.1.2</t>
  </si>
  <si>
    <t>1.1.2.3.1.1.3</t>
  </si>
  <si>
    <t>1.1.2.3.1.1.4</t>
  </si>
  <si>
    <t>1.1.2.3.1.1.5</t>
  </si>
  <si>
    <t>1.1.2.3.1.2</t>
  </si>
  <si>
    <t>1.1.2.3.1.2.1</t>
  </si>
  <si>
    <t>1.1.2.3.1.2.2</t>
  </si>
  <si>
    <t>1.1.2.3.1.2.3</t>
  </si>
  <si>
    <t>1.1.2.3.1.2.4</t>
  </si>
  <si>
    <t>1.1.2.3.1.2.5</t>
  </si>
  <si>
    <t>1.1.2.3.1.2.6</t>
  </si>
  <si>
    <t>1.1.2.3.1.3</t>
  </si>
  <si>
    <t>1.1.2.3.1.3.1</t>
  </si>
  <si>
    <t>1.1.2.3.1.3.2</t>
  </si>
  <si>
    <t>1.1.2.3.1.3.3</t>
  </si>
  <si>
    <t>1.1.2.3.1.4</t>
  </si>
  <si>
    <t>1.1.2.3.1.4.1</t>
  </si>
  <si>
    <t>1.1.2.3.1.4.2</t>
  </si>
  <si>
    <t>1.1.2.3.1.4.3</t>
  </si>
  <si>
    <t>1.1.2.3.1.5</t>
  </si>
  <si>
    <t>1.1.2.3.1.5.1</t>
  </si>
  <si>
    <t>1.1.2.3.1.6</t>
  </si>
  <si>
    <t>1.1.2.3.1.6.1</t>
  </si>
  <si>
    <t>1.1.2.3.1.6.2</t>
  </si>
  <si>
    <t>1.1.2.3.1.7</t>
  </si>
  <si>
    <t>1.1.2.3.1.7.1</t>
  </si>
  <si>
    <t>1.1.2.3.1.7.2</t>
  </si>
  <si>
    <t>1.1.2.3.1.7.3</t>
  </si>
  <si>
    <t>1.1.2.3.1.7.4</t>
  </si>
  <si>
    <t>1.1.2.3.1.7.5</t>
  </si>
  <si>
    <t>1.1.2.3.1.7.6</t>
  </si>
  <si>
    <t>1.1.2.3.1.7.7</t>
  </si>
  <si>
    <t>1.1.2.3.1.7.8</t>
  </si>
  <si>
    <t>1.1.2.3.1.8</t>
  </si>
  <si>
    <t>1.1.2.3.1.8.1</t>
  </si>
  <si>
    <t>1.1.2.3.1.8.2</t>
  </si>
  <si>
    <t>1.1.2.3.1.8.3</t>
  </si>
  <si>
    <t>1.1.2.3.1.8.4</t>
  </si>
  <si>
    <t>1.1.2.3.1.9</t>
  </si>
  <si>
    <t>1.1.2.3.1.9.1</t>
  </si>
  <si>
    <t>1.1.2.3.1.9.2</t>
  </si>
  <si>
    <t>1.1.2.3.1.9.3</t>
  </si>
  <si>
    <t>1.1.2.3.1.9.4</t>
  </si>
  <si>
    <t>1.1.2.3.1.10</t>
  </si>
  <si>
    <t>1.1.2.3.1.10.1</t>
  </si>
  <si>
    <t>1.1.2.3.1.10.2</t>
  </si>
  <si>
    <t>1.1.2.3.1.10.3</t>
  </si>
  <si>
    <t>1.1.2.3.2</t>
  </si>
  <si>
    <t>1.1.2.3.2.1</t>
  </si>
  <si>
    <t>1.1.2.3.2.2</t>
  </si>
  <si>
    <t>1.1.2.3.2.3</t>
  </si>
  <si>
    <t>1.1.2.3.3</t>
  </si>
  <si>
    <t>1.1.2.3.3.1</t>
  </si>
  <si>
    <t>1.1.2.3.3.2</t>
  </si>
  <si>
    <t>1.1.2.3.3.3</t>
  </si>
  <si>
    <t>1.1.2.4.1</t>
  </si>
  <si>
    <t>1.1.2.4.2</t>
  </si>
  <si>
    <t>1.1.2.4.3</t>
  </si>
  <si>
    <t>1.2.3</t>
  </si>
  <si>
    <t>1.2.3.1</t>
  </si>
  <si>
    <t>1.2.3.2</t>
  </si>
  <si>
    <t>1.2.3.3</t>
  </si>
  <si>
    <t>1.2.4</t>
  </si>
  <si>
    <t>1.2.4.1</t>
  </si>
  <si>
    <t>1.2.4.1.1</t>
  </si>
  <si>
    <t>1.2.4.2</t>
  </si>
  <si>
    <t>1.2.5</t>
  </si>
  <si>
    <t>1.2.5.1</t>
  </si>
  <si>
    <t>1.2.5.2</t>
  </si>
  <si>
    <t>1.2.5.3</t>
  </si>
  <si>
    <t>1.2.5.4</t>
  </si>
  <si>
    <t>1.2.6</t>
  </si>
  <si>
    <t>1.2.6.1</t>
  </si>
  <si>
    <t>1.2.6.2</t>
  </si>
  <si>
    <t>1.2.6.3</t>
  </si>
  <si>
    <t>1.2.6.4</t>
  </si>
  <si>
    <t>1.2.6.5</t>
  </si>
  <si>
    <t>1.2.7</t>
  </si>
  <si>
    <t>1.2.7.1</t>
  </si>
  <si>
    <t>1.2.7.1.1</t>
  </si>
  <si>
    <t>1.2.7.1.1.1</t>
  </si>
  <si>
    <t>1.2.7.1.1.2</t>
  </si>
  <si>
    <t>1.2.7.1.1.2.1</t>
  </si>
  <si>
    <t>1.2.7.1.1.2.2</t>
  </si>
  <si>
    <t>1.2.7.1.1.2.3</t>
  </si>
  <si>
    <t>1.2.7.2</t>
  </si>
  <si>
    <t>1.2.7.2.1</t>
  </si>
  <si>
    <t>1.2.7.2.1.1</t>
  </si>
  <si>
    <t>1.2.7.2.1.2</t>
  </si>
  <si>
    <t>1.2.7.2.1.3</t>
  </si>
  <si>
    <t>1.2.7.2.1.4</t>
  </si>
  <si>
    <t>1.2.7.2.2</t>
  </si>
  <si>
    <t>1.2.7.2.2.1</t>
  </si>
  <si>
    <t>1.2.7.2.2.2</t>
  </si>
  <si>
    <t>1.2.7.2.3</t>
  </si>
  <si>
    <t>1.2.7.2.3.1</t>
  </si>
  <si>
    <t>1.2.7.2.3.2</t>
  </si>
  <si>
    <t>1.2.7.2.3.3</t>
  </si>
  <si>
    <t>1.2.7.2.3.4</t>
  </si>
  <si>
    <t>1.2.7.2.3.5</t>
  </si>
  <si>
    <t>1.2.7.2.3.6</t>
  </si>
  <si>
    <t>1.2.7.3</t>
  </si>
  <si>
    <t>1.2.7.3.1</t>
  </si>
  <si>
    <t>1.2.7.3.2</t>
  </si>
  <si>
    <t>1.2.7.3.3</t>
  </si>
  <si>
    <t>1.2.7.3.4</t>
  </si>
  <si>
    <t>1.2.7.3.5</t>
  </si>
  <si>
    <t>1.2.7.3.6</t>
  </si>
  <si>
    <t>1.2.7.3.6.1</t>
  </si>
  <si>
    <t>1.2.7.3.6.2</t>
  </si>
  <si>
    <t>1.2.7.3.6.3</t>
  </si>
  <si>
    <t>1.2.7.3.6.4</t>
  </si>
  <si>
    <t>1.2.7.3.6.5</t>
  </si>
  <si>
    <t>1.2.7.3.6.6</t>
  </si>
  <si>
    <t>1.2.7.3.6.7</t>
  </si>
  <si>
    <t>1.2.7.4</t>
  </si>
  <si>
    <t>1.2.7.4.1</t>
  </si>
  <si>
    <t>1.2.7.4.2</t>
  </si>
  <si>
    <t>1.2.7.4.3</t>
  </si>
  <si>
    <t>1.2.7.4.3.1</t>
  </si>
  <si>
    <t>1.2.7.4.3.2</t>
  </si>
  <si>
    <t>1.2.7.4.3.3</t>
  </si>
  <si>
    <t>1.2.7.4.3.4</t>
  </si>
  <si>
    <t>1.2.7.4.3.5</t>
  </si>
  <si>
    <t>1.2.7.4.3.6</t>
  </si>
  <si>
    <t>1.2.7.4.4</t>
  </si>
  <si>
    <t>1.2.7.5</t>
  </si>
  <si>
    <t>1.2.7.5.1</t>
  </si>
  <si>
    <t>1.2.7.5.1.1</t>
  </si>
  <si>
    <t>1.2.7.5.1.2</t>
  </si>
  <si>
    <t>1.2.7.5.1.3</t>
  </si>
  <si>
    <t>1.2.7.5.1.3.1</t>
  </si>
  <si>
    <t>1.2.7.5.1.3.2</t>
  </si>
  <si>
    <t>1.2.7.5.1.3.3</t>
  </si>
  <si>
    <t>1.2.7.5.1.3.4</t>
  </si>
  <si>
    <t>1.2.7.5.1.3.5</t>
  </si>
  <si>
    <t>1.2.7.5.1.3.6</t>
  </si>
  <si>
    <t>1.2.7.5.1.3.7</t>
  </si>
  <si>
    <t>1.2.7.5.1.3.8</t>
  </si>
  <si>
    <t>1.2.7.5.1.3.9</t>
  </si>
  <si>
    <t>1.2.7.5.1.3.10</t>
  </si>
  <si>
    <t>1.2.7.5.1.4</t>
  </si>
  <si>
    <t>1.2.7.5.1.5</t>
  </si>
  <si>
    <t>1.2.7.5.1.5.1</t>
  </si>
  <si>
    <t>1.2.7.5.1.5.2</t>
  </si>
  <si>
    <t>1.2.7.5.1.5.2.1</t>
  </si>
  <si>
    <t>1.2.7.5.1.5.2.2</t>
  </si>
  <si>
    <t>1.2.7.5.1.5.2.2.1</t>
  </si>
  <si>
    <t>1.2.7.5.1.5.2.2.2</t>
  </si>
  <si>
    <t>1.2.7.5.1.5.2.2.3</t>
  </si>
  <si>
    <t>1.2.7.5.1.5.2.2.4</t>
  </si>
  <si>
    <t>1.2.7.5.1.5.2.2.5</t>
  </si>
  <si>
    <t>1.2.7.5.1.5.2.2.6</t>
  </si>
  <si>
    <t>1.2.7.5.2</t>
  </si>
  <si>
    <t>1.2.7.5.2.1</t>
  </si>
  <si>
    <t>1.2.7.5.2.2</t>
  </si>
  <si>
    <t>1.2.7.5.2.2.1</t>
  </si>
  <si>
    <t>1.2.7.5.2.3</t>
  </si>
  <si>
    <t>1.2.7.5.2.4</t>
  </si>
  <si>
    <t>1.2.7.5.2.5</t>
  </si>
  <si>
    <t>1.2.7.5.2.5.1</t>
  </si>
  <si>
    <t>1.2.7.5.2.5.2</t>
  </si>
  <si>
    <t>1.2.7.5.2.5.2.1</t>
  </si>
  <si>
    <t>1.2.7.5.2.5.2.2</t>
  </si>
  <si>
    <t>1.2.7.5.2.5.2.3</t>
  </si>
  <si>
    <t>1.2.7.5.2.5.2.4</t>
  </si>
  <si>
    <t>1.2.7.5.3</t>
  </si>
  <si>
    <t>1.2.7.5.3.1</t>
  </si>
  <si>
    <t>1.2.7.5.3.1.1</t>
  </si>
  <si>
    <t>1.2.7.5.3.1.2</t>
  </si>
  <si>
    <t>1.2.7.5.3.1.3</t>
  </si>
  <si>
    <t>1.2.7.5.3.1.4</t>
  </si>
  <si>
    <t>1.2.7.5.3.2</t>
  </si>
  <si>
    <t>1.2.7.5.4</t>
  </si>
  <si>
    <t>1.2.7.5.4.1</t>
  </si>
  <si>
    <t>1.2.7.5.4.2</t>
  </si>
  <si>
    <t>1.2.7.5.4.2.1</t>
  </si>
  <si>
    <t>1.2.7.5.4.2.2</t>
  </si>
  <si>
    <t>1.2.7.5.4.2.3</t>
  </si>
  <si>
    <t>1.2.7.5.5</t>
  </si>
  <si>
    <t>1.2.7.5.5.1</t>
  </si>
  <si>
    <t>1.2.7.5.5.1.1</t>
  </si>
  <si>
    <t>1.2.7.5.5.1.2</t>
  </si>
  <si>
    <t>1.2.7.5.5.1.3</t>
  </si>
  <si>
    <t>1.2.7.5.5.1.4</t>
  </si>
  <si>
    <t>1.2.7.5.5.2</t>
  </si>
  <si>
    <t>1.2.7.5.5.2.1</t>
  </si>
  <si>
    <t>1.2.7.5.5.2.2</t>
  </si>
  <si>
    <t>1.2.8</t>
  </si>
  <si>
    <t>1.2.8.1</t>
  </si>
  <si>
    <t>1.2.8.1.1</t>
  </si>
  <si>
    <t>1.2.8.1.2</t>
  </si>
  <si>
    <t>1.2.8.2</t>
  </si>
  <si>
    <t>1.2.8.2.1</t>
  </si>
  <si>
    <t>1.2.8.2.2</t>
  </si>
  <si>
    <t>1.2.9</t>
  </si>
  <si>
    <t>1.2.9.1</t>
  </si>
  <si>
    <t>1.2.9.1.1</t>
  </si>
  <si>
    <t>1.2.9.1.2</t>
  </si>
  <si>
    <t>1.2.9.2</t>
  </si>
  <si>
    <t>1.2.4.2.1</t>
  </si>
  <si>
    <t>1.2.4.2.2</t>
  </si>
  <si>
    <t>1.2.4.2.3</t>
  </si>
  <si>
    <t>1.2.4.2.4</t>
  </si>
  <si>
    <t>1.2.4.2.5</t>
  </si>
  <si>
    <t>1.2.4.2.6</t>
  </si>
  <si>
    <t>1.2.4.2.6.1</t>
  </si>
  <si>
    <t>1.2.4.2.6.2</t>
  </si>
  <si>
    <t>1.2.4.2.6.3</t>
  </si>
  <si>
    <t>1.2.4.3</t>
  </si>
  <si>
    <t>총_x000D_
작업량</t>
    <phoneticPr fontId="3" type="noConversion"/>
  </si>
  <si>
    <t>0;6</t>
  </si>
  <si>
    <t>wbs_level</t>
    <phoneticPr fontId="3" type="noConversion"/>
  </si>
  <si>
    <t>계획_x000D_
기간</t>
    <phoneticPr fontId="3" type="noConversion"/>
  </si>
  <si>
    <t>실제_x000D_
시작일</t>
    <phoneticPr fontId="3" type="noConversion"/>
  </si>
  <si>
    <t>계획</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</si>
</sst>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0.0"/>
    <numFmt numFmtId="178" formatCode="0.0_);[Red]\(0.0\)"/>
    <numFmt numFmtId="179" formatCode="0.00_);[Red]\(0.00\)"/>
  </numFmts>
  <fonts count="61">
    <font>
      <sz val="11"/>
      <color theme="1"/>
      <name val="맑은 고딕"/>
      <family val="2"/>
      <scheme val="minor"/>
    </font>
    <font>
      <sz val="8"/>
      <name val="맑은 고딕"/>
      <family val="3"/>
      <charset val="129"/>
      <scheme val="minor"/>
    </font>
    <font>
      <u/>
      <sz val="11"/>
      <color theme="10"/>
      <name val="돋움"/>
      <family val="3"/>
      <charset val="129"/>
    </font>
    <font>
      <sz val="8"/>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name val="맑은 고딕"/>
      <family val="3"/>
      <charset val="129"/>
      <scheme val="minor"/>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0"/>
      <color theme="10"/>
      <name val="Calibri"/>
      <family val="2"/>
    </font>
    <font>
      <sz val="11"/>
      <color theme="1"/>
      <name val="맑은 고딕"/>
      <family val="2"/>
      <scheme val="minor"/>
    </font>
    <font>
      <b/>
      <sz val="9"/>
      <name val="맑은 고딕"/>
      <family val="3"/>
      <charset val="129"/>
      <scheme val="minor"/>
    </font>
    <font>
      <b/>
      <sz val="20"/>
      <color rgb="FFFF8800"/>
      <name val="Calibri"/>
      <family val="2"/>
    </font>
    <font>
      <sz val="9"/>
      <color rgb="FFFF8800"/>
      <name val="Calibri"/>
      <family val="2"/>
    </font>
    <font>
      <sz val="8"/>
      <color theme="0"/>
      <name val="Calibri"/>
      <family val="2"/>
    </font>
    <font>
      <b/>
      <sz val="14"/>
      <color rgb="FFFF8800"/>
      <name val="Calibri"/>
      <family val="2"/>
    </font>
    <font>
      <sz val="9"/>
      <name val="Calibri"/>
      <family val="2"/>
    </font>
    <font>
      <sz val="9"/>
      <color theme="0"/>
      <name val="Calibri"/>
      <family val="2"/>
    </font>
    <font>
      <sz val="9"/>
      <color theme="1"/>
      <name val="Calibri"/>
      <family val="2"/>
    </font>
    <font>
      <sz val="9"/>
      <color rgb="FFFF0000"/>
      <name val="Calibri"/>
      <family val="2"/>
    </font>
    <font>
      <sz val="9"/>
      <color theme="1"/>
      <name val="맑은 고딕"/>
      <family val="3"/>
      <charset val="129"/>
    </font>
    <font>
      <b/>
      <sz val="11"/>
      <color theme="0"/>
      <name val="Calibri"/>
      <family val="2"/>
      <charset val="129"/>
    </font>
    <font>
      <sz val="12"/>
      <name val="Calibri"/>
      <family val="3"/>
      <charset val="129"/>
    </font>
    <font>
      <sz val="9"/>
      <color theme="1"/>
      <name val="맑은 고딕"/>
      <family val="2"/>
      <charset val="129"/>
    </font>
    <font>
      <sz val="9"/>
      <color theme="1"/>
      <name val="Calibri"/>
      <family val="3"/>
      <charset val="129"/>
    </font>
    <font>
      <sz val="9"/>
      <color theme="1"/>
      <name val="Arial Unicode MS"/>
      <family val="2"/>
      <charset val="129"/>
    </font>
    <font>
      <b/>
      <sz val="10"/>
      <color theme="10"/>
      <name val="Malgun Gothic"/>
      <family val="3"/>
      <charset val="129"/>
    </font>
    <font>
      <b/>
      <sz val="9"/>
      <color rgb="FFFF8800"/>
      <name val="돋움"/>
      <family val="3"/>
      <charset val="129"/>
    </font>
    <font>
      <b/>
      <sz val="11"/>
      <name val="Calibri"/>
      <family val="2"/>
    </font>
    <font>
      <sz val="11"/>
      <color rgb="FFFF0000"/>
      <name val="Calibri"/>
      <family val="2"/>
    </font>
    <font>
      <sz val="8"/>
      <color rgb="FFFF8800"/>
      <name val="Calibri"/>
      <family val="2"/>
    </font>
    <font>
      <sz val="9"/>
      <color rgb="FFFF8800"/>
      <name val="맑은 고딕"/>
      <family val="3"/>
      <charset val="129"/>
      <scheme val="minor"/>
    </font>
    <font>
      <sz val="9"/>
      <color theme="1"/>
      <name val="맑은 고딕"/>
      <family val="3"/>
      <charset val="129"/>
      <scheme val="minor"/>
    </font>
  </fonts>
  <fills count="24">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0000"/>
        <bgColor indexed="64"/>
      </patternFill>
    </fill>
    <fill>
      <patternFill patternType="solid">
        <fgColor rgb="FFFFFF00"/>
        <bgColor indexed="64"/>
      </patternFill>
    </fill>
    <fill>
      <patternFill patternType="solid">
        <fgColor theme="3" tint="0.79995117038483843"/>
        <bgColor indexed="64"/>
      </patternFill>
    </fill>
    <fill>
      <patternFill patternType="solid">
        <fgColor rgb="FF00CC00"/>
        <bgColor indexed="64"/>
      </patternFill>
    </fill>
  </fills>
  <borders count="31">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s>
  <cellStyleXfs count="3">
    <xf numFmtId="0" fontId="0" fillId="0" borderId="0"/>
    <xf numFmtId="0" fontId="2" fillId="0" borderId="0" applyNumberFormat="0" applyFill="0" applyBorder="0" applyAlignment="0" applyProtection="0"/>
    <xf numFmtId="9" fontId="38" fillId="0" borderId="0" applyFont="0" applyFill="0" applyBorder="0" applyAlignment="0" applyProtection="0">
      <alignment vertical="center"/>
    </xf>
  </cellStyleXfs>
  <cellXfs count="278">
    <xf numFmtId="0" fontId="0" fillId="0" borderId="0" xfId="0"/>
    <xf numFmtId="0" fontId="5" fillId="0" borderId="0" xfId="0" applyFont="1" applyAlignment="1">
      <alignment vertical="center"/>
    </xf>
    <xf numFmtId="0" fontId="4" fillId="0" borderId="0" xfId="0" applyFont="1" applyAlignment="1">
      <alignment vertical="center"/>
    </xf>
    <xf numFmtId="14" fontId="6" fillId="0" borderId="0" xfId="0" applyNumberFormat="1" applyFont="1" applyAlignment="1">
      <alignment vertical="center"/>
    </xf>
    <xf numFmtId="14" fontId="7" fillId="0" borderId="0" xfId="0" applyNumberFormat="1" applyFont="1" applyAlignment="1">
      <alignment vertical="center"/>
    </xf>
    <xf numFmtId="14" fontId="8" fillId="2" borderId="0" xfId="0" quotePrefix="1" applyNumberFormat="1" applyFont="1" applyFill="1"/>
    <xf numFmtId="14" fontId="8" fillId="2" borderId="0" xfId="0" applyNumberFormat="1" applyFont="1" applyFill="1" applyAlignment="1">
      <alignment vertical="center"/>
    </xf>
    <xf numFmtId="0" fontId="8" fillId="2" borderId="0" xfId="0" applyFont="1" applyFill="1"/>
    <xf numFmtId="176" fontId="10" fillId="2" borderId="0" xfId="0" applyNumberFormat="1" applyFont="1" applyFill="1" applyAlignment="1" applyProtection="1">
      <alignment vertical="center"/>
      <protection locked="0"/>
    </xf>
    <xf numFmtId="14" fontId="9" fillId="2" borderId="0" xfId="0" applyNumberFormat="1" applyFont="1" applyFill="1" applyAlignment="1">
      <alignment vertical="center"/>
    </xf>
    <xf numFmtId="14" fontId="8" fillId="0" borderId="6" xfId="0" applyNumberFormat="1" applyFont="1" applyBorder="1" applyAlignment="1" applyProtection="1">
      <alignment vertical="top"/>
      <protection locked="0"/>
    </xf>
    <xf numFmtId="14" fontId="8" fillId="0" borderId="6" xfId="0" applyNumberFormat="1" applyFont="1" applyBorder="1" applyAlignment="1" applyProtection="1">
      <alignment vertical="center"/>
      <protection locked="0"/>
    </xf>
    <xf numFmtId="0" fontId="8" fillId="0" borderId="6" xfId="0" applyFont="1" applyBorder="1" applyAlignment="1" applyProtection="1">
      <alignment vertical="top"/>
      <protection locked="0"/>
    </xf>
    <xf numFmtId="0" fontId="8" fillId="0" borderId="6" xfId="0" applyFont="1" applyBorder="1" applyAlignment="1" applyProtection="1">
      <alignment vertical="center" wrapText="1"/>
      <protection locked="0"/>
    </xf>
    <xf numFmtId="0" fontId="8" fillId="0" borderId="6" xfId="0" applyFont="1" applyBorder="1" applyAlignment="1" applyProtection="1">
      <alignment vertical="center"/>
      <protection locked="0"/>
    </xf>
    <xf numFmtId="0" fontId="8" fillId="0" borderId="0" xfId="0" applyFont="1" applyAlignment="1" applyProtection="1">
      <alignment vertical="top"/>
      <protection locked="0"/>
    </xf>
    <xf numFmtId="14" fontId="11" fillId="0" borderId="0" xfId="0" applyNumberFormat="1" applyFont="1" applyAlignment="1" applyProtection="1">
      <alignment horizontal="right" vertical="top"/>
      <protection locked="0"/>
    </xf>
    <xf numFmtId="179" fontId="8" fillId="4" borderId="7" xfId="0" applyNumberFormat="1" applyFont="1" applyFill="1" applyBorder="1" applyAlignment="1" applyProtection="1">
      <alignment vertical="center"/>
      <protection locked="0"/>
    </xf>
    <xf numFmtId="14" fontId="11" fillId="0" borderId="8" xfId="0" applyNumberFormat="1" applyFont="1" applyBorder="1" applyAlignment="1" applyProtection="1">
      <alignment horizontal="right" vertical="top"/>
      <protection locked="0"/>
    </xf>
    <xf numFmtId="14" fontId="8" fillId="0" borderId="8" xfId="0" applyNumberFormat="1" applyFont="1" applyBorder="1" applyAlignment="1" applyProtection="1">
      <alignment vertical="center"/>
      <protection locked="0"/>
    </xf>
    <xf numFmtId="0" fontId="8" fillId="0" borderId="8" xfId="0" applyFont="1" applyBorder="1" applyAlignment="1" applyProtection="1">
      <alignment vertical="top"/>
      <protection locked="0"/>
    </xf>
    <xf numFmtId="0" fontId="8" fillId="0" borderId="8" xfId="0" applyFont="1" applyBorder="1" applyAlignment="1" applyProtection="1">
      <alignment vertical="center"/>
      <protection locked="0"/>
    </xf>
    <xf numFmtId="14" fontId="11" fillId="0" borderId="0" xfId="0" applyNumberFormat="1" applyFont="1" applyAlignment="1" applyProtection="1">
      <alignment vertical="top"/>
      <protection locked="0"/>
    </xf>
    <xf numFmtId="14" fontId="8" fillId="0" borderId="0" xfId="0" applyNumberFormat="1" applyFont="1" applyAlignment="1" applyProtection="1">
      <alignment vertical="center"/>
      <protection locked="0"/>
    </xf>
    <xf numFmtId="0" fontId="8" fillId="0" borderId="9" xfId="0" applyFont="1" applyBorder="1" applyAlignment="1" applyProtection="1">
      <alignment vertical="center" wrapText="1"/>
      <protection locked="0"/>
    </xf>
    <xf numFmtId="14" fontId="8" fillId="0" borderId="0" xfId="0" applyNumberFormat="1" applyFont="1" applyAlignment="1" applyProtection="1">
      <alignment vertical="top"/>
      <protection locked="0"/>
    </xf>
    <xf numFmtId="14" fontId="11" fillId="0" borderId="8" xfId="0" applyNumberFormat="1" applyFont="1" applyBorder="1" applyAlignment="1" applyProtection="1">
      <alignment vertical="top"/>
      <protection locked="0"/>
    </xf>
    <xf numFmtId="0" fontId="8" fillId="0" borderId="8" xfId="0" applyFont="1" applyBorder="1" applyAlignment="1" applyProtection="1">
      <alignment vertical="center" wrapText="1"/>
      <protection locked="0"/>
    </xf>
    <xf numFmtId="14" fontId="11" fillId="0" borderId="9" xfId="0" applyNumberFormat="1" applyFont="1" applyBorder="1" applyAlignment="1" applyProtection="1">
      <alignment vertical="center" wrapText="1"/>
      <protection locked="0"/>
    </xf>
    <xf numFmtId="14" fontId="11" fillId="0" borderId="0" xfId="0" applyNumberFormat="1" applyFont="1" applyAlignment="1" applyProtection="1">
      <alignment horizontal="right" vertical="center" wrapText="1"/>
      <protection locked="0"/>
    </xf>
    <xf numFmtId="14" fontId="11" fillId="0" borderId="8" xfId="0" applyNumberFormat="1" applyFont="1" applyBorder="1" applyAlignment="1" applyProtection="1">
      <alignment vertical="center" wrapText="1"/>
      <protection locked="0"/>
    </xf>
    <xf numFmtId="0" fontId="8" fillId="0" borderId="8" xfId="0" applyFont="1" applyBorder="1" applyProtection="1">
      <protection locked="0"/>
    </xf>
    <xf numFmtId="0" fontId="8" fillId="0" borderId="0" xfId="0" applyFont="1" applyProtection="1">
      <protection locked="0"/>
    </xf>
    <xf numFmtId="14" fontId="8" fillId="0" borderId="0" xfId="0" applyNumberFormat="1" applyFont="1" applyProtection="1">
      <protection locked="0"/>
    </xf>
    <xf numFmtId="14" fontId="8" fillId="0" borderId="9" xfId="0" applyNumberFormat="1" applyFont="1" applyBorder="1" applyAlignment="1" applyProtection="1">
      <alignment vertical="center"/>
      <protection locked="0"/>
    </xf>
    <xf numFmtId="0" fontId="8" fillId="0" borderId="9" xfId="0" applyFont="1" applyBorder="1" applyProtection="1">
      <protection locked="0"/>
    </xf>
    <xf numFmtId="14" fontId="8" fillId="0" borderId="10" xfId="0" applyNumberFormat="1" applyFont="1" applyBorder="1" applyAlignment="1" applyProtection="1">
      <alignment vertical="center"/>
      <protection locked="0"/>
    </xf>
    <xf numFmtId="0" fontId="8" fillId="0" borderId="10" xfId="0" applyFont="1" applyBorder="1" applyAlignment="1" applyProtection="1">
      <alignment vertical="top"/>
      <protection locked="0"/>
    </xf>
    <xf numFmtId="14" fontId="11" fillId="0" borderId="9" xfId="0" applyNumberFormat="1" applyFont="1" applyBorder="1" applyProtection="1">
      <protection locked="0"/>
    </xf>
    <xf numFmtId="10" fontId="8" fillId="4" borderId="7" xfId="0" applyNumberFormat="1" applyFont="1" applyFill="1" applyBorder="1" applyAlignment="1" applyProtection="1">
      <alignment vertical="center"/>
      <protection locked="0"/>
    </xf>
    <xf numFmtId="14" fontId="11" fillId="0" borderId="10" xfId="0" applyNumberFormat="1" applyFont="1" applyBorder="1" applyAlignment="1" applyProtection="1">
      <alignment horizontal="right" vertical="top"/>
      <protection locked="0"/>
    </xf>
    <xf numFmtId="14" fontId="11" fillId="0" borderId="6" xfId="0" applyNumberFormat="1" applyFont="1" applyBorder="1" applyAlignment="1" applyProtection="1">
      <alignment horizontal="right" vertical="top"/>
      <protection locked="0"/>
    </xf>
    <xf numFmtId="14" fontId="11" fillId="0" borderId="11" xfId="0" applyNumberFormat="1" applyFont="1" applyBorder="1" applyAlignment="1" applyProtection="1">
      <alignment horizontal="right" vertical="top"/>
      <protection locked="0"/>
    </xf>
    <xf numFmtId="14" fontId="8" fillId="0" borderId="11" xfId="0" applyNumberFormat="1" applyFont="1" applyBorder="1" applyAlignment="1" applyProtection="1">
      <alignment vertical="center"/>
      <protection locked="0"/>
    </xf>
    <xf numFmtId="0" fontId="8" fillId="0" borderId="11" xfId="0" applyFont="1" applyBorder="1" applyAlignment="1" applyProtection="1">
      <alignment vertical="top"/>
      <protection locked="0"/>
    </xf>
    <xf numFmtId="14" fontId="11" fillId="0" borderId="12" xfId="0" applyNumberFormat="1" applyFont="1" applyBorder="1" applyAlignment="1" applyProtection="1">
      <alignment vertical="top"/>
      <protection locked="0"/>
    </xf>
    <xf numFmtId="14" fontId="8" fillId="0" borderId="12" xfId="0" applyNumberFormat="1" applyFont="1" applyBorder="1" applyAlignment="1" applyProtection="1">
      <alignment vertical="center"/>
      <protection locked="0"/>
    </xf>
    <xf numFmtId="0" fontId="8" fillId="0" borderId="12" xfId="0" applyFont="1" applyBorder="1" applyAlignment="1" applyProtection="1">
      <alignment vertical="top"/>
      <protection locked="0"/>
    </xf>
    <xf numFmtId="0" fontId="8" fillId="0" borderId="9" xfId="0" applyFont="1" applyBorder="1" applyAlignment="1" applyProtection="1">
      <alignment vertical="center"/>
      <protection locked="0"/>
    </xf>
    <xf numFmtId="10" fontId="8" fillId="4" borderId="7" xfId="0" applyNumberFormat="1" applyFont="1" applyFill="1" applyBorder="1" applyAlignment="1">
      <alignment vertical="center"/>
    </xf>
    <xf numFmtId="14" fontId="8" fillId="0" borderId="13" xfId="0" applyNumberFormat="1" applyFont="1" applyBorder="1" applyAlignment="1" applyProtection="1">
      <alignment horizontal="right" vertical="top"/>
      <protection locked="0"/>
    </xf>
    <xf numFmtId="14" fontId="8" fillId="0" borderId="13" xfId="0" applyNumberFormat="1" applyFont="1" applyBorder="1" applyAlignment="1" applyProtection="1">
      <alignment vertical="center"/>
      <protection locked="0"/>
    </xf>
    <xf numFmtId="0" fontId="8" fillId="0" borderId="13" xfId="0" applyFont="1" applyBorder="1" applyAlignment="1" applyProtection="1">
      <alignment vertical="top"/>
      <protection locked="0"/>
    </xf>
    <xf numFmtId="0" fontId="8" fillId="0" borderId="13" xfId="0" applyFont="1" applyBorder="1" applyAlignment="1" applyProtection="1">
      <alignment vertical="center"/>
      <protection locked="0"/>
    </xf>
    <xf numFmtId="14" fontId="7" fillId="0" borderId="0" xfId="0" applyNumberFormat="1" applyFont="1" applyAlignment="1" applyProtection="1">
      <alignment vertical="top"/>
      <protection locked="0"/>
    </xf>
    <xf numFmtId="14" fontId="7" fillId="0" borderId="0" xfId="0" applyNumberFormat="1" applyFont="1" applyAlignment="1" applyProtection="1">
      <alignment vertical="center"/>
      <protection locked="0"/>
    </xf>
    <xf numFmtId="0" fontId="7" fillId="0" borderId="0" xfId="0" applyFont="1" applyAlignment="1" applyProtection="1">
      <alignment vertical="top"/>
      <protection locked="0"/>
    </xf>
    <xf numFmtId="14" fontId="7" fillId="0" borderId="0" xfId="0" applyNumberFormat="1" applyFont="1" applyProtection="1">
      <protection locked="0"/>
    </xf>
    <xf numFmtId="179" fontId="7" fillId="0" borderId="0" xfId="0" applyNumberFormat="1" applyFont="1" applyAlignment="1" applyProtection="1">
      <alignment vertical="center"/>
      <protection locked="0"/>
    </xf>
    <xf numFmtId="0" fontId="7" fillId="0" borderId="0" xfId="0" applyFont="1" applyProtection="1">
      <protection locked="0"/>
    </xf>
    <xf numFmtId="1" fontId="7" fillId="0" borderId="0" xfId="0" applyNumberFormat="1" applyFont="1" applyAlignment="1" applyProtection="1">
      <alignment vertical="center"/>
      <protection locked="0"/>
    </xf>
    <xf numFmtId="176" fontId="7" fillId="0" borderId="0" xfId="0" applyNumberFormat="1" applyFont="1" applyAlignment="1" applyProtection="1">
      <alignment vertical="center"/>
      <protection locked="0"/>
    </xf>
    <xf numFmtId="0" fontId="7" fillId="5" borderId="1" xfId="0" applyFont="1" applyFill="1" applyBorder="1" applyAlignment="1">
      <alignment horizontal="left" wrapText="1"/>
    </xf>
    <xf numFmtId="14" fontId="7" fillId="0" borderId="0" xfId="0" applyNumberFormat="1" applyFont="1"/>
    <xf numFmtId="14" fontId="7" fillId="2" borderId="0" xfId="0" applyNumberFormat="1" applyFont="1" applyFill="1" applyAlignment="1">
      <alignment vertical="top"/>
    </xf>
    <xf numFmtId="14" fontId="13" fillId="3" borderId="14" xfId="0" applyNumberFormat="1" applyFont="1" applyFill="1" applyBorder="1" applyAlignment="1">
      <alignment horizontal="center" vertical="center"/>
    </xf>
    <xf numFmtId="14" fontId="7" fillId="0" borderId="0" xfId="0" applyNumberFormat="1" applyFont="1" applyAlignment="1">
      <alignment horizontal="center" vertical="center"/>
    </xf>
    <xf numFmtId="0" fontId="8" fillId="7" borderId="15" xfId="0" applyFont="1" applyFill="1" applyBorder="1" applyAlignment="1">
      <alignment horizontal="left" vertical="top"/>
    </xf>
    <xf numFmtId="0" fontId="8" fillId="0" borderId="0" xfId="0" applyFont="1" applyAlignment="1">
      <alignment horizontal="left" vertical="top"/>
    </xf>
    <xf numFmtId="0" fontId="8" fillId="0" borderId="0" xfId="0" applyFont="1" applyAlignment="1">
      <alignment vertical="top"/>
    </xf>
    <xf numFmtId="14" fontId="8" fillId="0" borderId="0" xfId="0" applyNumberFormat="1" applyFont="1" applyAlignment="1">
      <alignment horizontal="left" vertical="top"/>
    </xf>
    <xf numFmtId="22" fontId="8" fillId="0" borderId="0" xfId="0" applyNumberFormat="1" applyFont="1" applyAlignment="1">
      <alignment horizontal="left" vertical="top"/>
    </xf>
    <xf numFmtId="0" fontId="7" fillId="5" borderId="2" xfId="0" applyFont="1" applyFill="1" applyBorder="1" applyAlignment="1">
      <alignment horizontal="left" wrapText="1"/>
    </xf>
    <xf numFmtId="0" fontId="7" fillId="0" borderId="0" xfId="0" applyFont="1"/>
    <xf numFmtId="14" fontId="16" fillId="6" borderId="14" xfId="0" applyNumberFormat="1" applyFont="1" applyFill="1" applyBorder="1" applyProtection="1">
      <protection locked="0"/>
    </xf>
    <xf numFmtId="14" fontId="16" fillId="0" borderId="14" xfId="0" applyNumberFormat="1" applyFont="1" applyBorder="1" applyProtection="1">
      <protection locked="0"/>
    </xf>
    <xf numFmtId="14" fontId="16" fillId="0" borderId="0" xfId="0" applyNumberFormat="1" applyFont="1"/>
    <xf numFmtId="0" fontId="19" fillId="0" borderId="0" xfId="0" applyFont="1"/>
    <xf numFmtId="14" fontId="16" fillId="0" borderId="14" xfId="0" applyNumberFormat="1" applyFont="1" applyBorder="1"/>
    <xf numFmtId="0" fontId="21" fillId="0" borderId="0" xfId="0" applyFont="1"/>
    <xf numFmtId="0" fontId="8" fillId="0" borderId="0" xfId="0" applyFont="1" applyAlignment="1" applyProtection="1">
      <alignment horizontal="center"/>
      <protection locked="0"/>
    </xf>
    <xf numFmtId="0" fontId="22" fillId="0" borderId="0" xfId="0" applyFont="1" applyAlignment="1" applyProtection="1">
      <alignment horizontal="center"/>
      <protection locked="0"/>
    </xf>
    <xf numFmtId="0" fontId="23" fillId="0" borderId="0" xfId="0" applyFont="1" applyProtection="1">
      <protection locked="0"/>
    </xf>
    <xf numFmtId="0" fontId="8" fillId="0" borderId="0" xfId="0" applyFont="1" applyAlignment="1" applyProtection="1">
      <alignment vertical="center"/>
      <protection locked="0"/>
    </xf>
    <xf numFmtId="0" fontId="24" fillId="11" borderId="17" xfId="1" applyFont="1" applyFill="1" applyBorder="1" applyAlignment="1" applyProtection="1">
      <alignment horizontal="center" vertical="center" wrapText="1"/>
      <protection locked="0"/>
    </xf>
    <xf numFmtId="0" fontId="24" fillId="10" borderId="17" xfId="1" applyFont="1" applyFill="1" applyBorder="1" applyAlignment="1" applyProtection="1">
      <alignment horizontal="center" vertical="center" wrapText="1"/>
      <protection locked="0"/>
    </xf>
    <xf numFmtId="0" fontId="24" fillId="12" borderId="17" xfId="1" applyFont="1" applyFill="1" applyBorder="1" applyAlignment="1" applyProtection="1">
      <alignment horizontal="center" vertical="center" wrapText="1"/>
      <protection locked="0"/>
    </xf>
    <xf numFmtId="0" fontId="24" fillId="13" borderId="17" xfId="1" applyFont="1" applyFill="1" applyBorder="1" applyAlignment="1" applyProtection="1">
      <alignment horizontal="center" vertical="center" wrapText="1"/>
      <protection locked="0"/>
    </xf>
    <xf numFmtId="0" fontId="24" fillId="9" borderId="17" xfId="1" applyFont="1" applyFill="1" applyBorder="1" applyAlignment="1" applyProtection="1">
      <alignment horizontal="center" vertical="center" wrapText="1"/>
      <protection locked="0"/>
    </xf>
    <xf numFmtId="0" fontId="25" fillId="9" borderId="17" xfId="1" applyFont="1" applyFill="1" applyBorder="1" applyAlignment="1" applyProtection="1">
      <alignment horizontal="center" vertical="center" wrapText="1"/>
      <protection locked="0"/>
    </xf>
    <xf numFmtId="0" fontId="21" fillId="0" borderId="0" xfId="0" applyFont="1" applyAlignment="1">
      <alignment vertical="center"/>
    </xf>
    <xf numFmtId="0" fontId="21" fillId="0" borderId="0" xfId="0" applyFont="1" applyAlignment="1">
      <alignment horizontal="center" vertical="center"/>
    </xf>
    <xf numFmtId="0" fontId="7" fillId="0" borderId="0" xfId="0" applyFont="1" applyAlignment="1">
      <alignment vertical="center"/>
    </xf>
    <xf numFmtId="0" fontId="26" fillId="0" borderId="0" xfId="0" applyFont="1" applyAlignment="1" applyProtection="1">
      <alignment horizontal="center"/>
      <protection locked="0"/>
    </xf>
    <xf numFmtId="0" fontId="25" fillId="8" borderId="17" xfId="1" applyFont="1" applyFill="1" applyBorder="1" applyAlignment="1" applyProtection="1">
      <alignment horizontal="center" vertical="center" wrapText="1"/>
      <protection locked="0"/>
    </xf>
    <xf numFmtId="0" fontId="23" fillId="0" borderId="0" xfId="0" applyFont="1" applyAlignment="1" applyProtection="1">
      <alignment horizontal="center"/>
      <protection locked="0"/>
    </xf>
    <xf numFmtId="0" fontId="26" fillId="14" borderId="0" xfId="0" applyFont="1" applyFill="1" applyAlignment="1" applyProtection="1">
      <alignment horizontal="left"/>
      <protection locked="0"/>
    </xf>
    <xf numFmtId="0" fontId="8" fillId="14" borderId="0" xfId="0" applyFont="1" applyFill="1" applyProtection="1">
      <protection locked="0"/>
    </xf>
    <xf numFmtId="0" fontId="23" fillId="14" borderId="0" xfId="0" applyFont="1" applyFill="1" applyProtection="1">
      <protection locked="0"/>
    </xf>
    <xf numFmtId="0" fontId="8" fillId="14" borderId="0" xfId="0" applyFont="1" applyFill="1" applyAlignment="1" applyProtection="1">
      <alignment vertical="center"/>
      <protection locked="0"/>
    </xf>
    <xf numFmtId="0" fontId="21" fillId="0" borderId="0" xfId="0" applyFont="1" applyAlignment="1">
      <alignment horizontal="center"/>
    </xf>
    <xf numFmtId="0" fontId="2" fillId="0" borderId="18" xfId="1" applyFill="1" applyBorder="1" applyAlignment="1" applyProtection="1">
      <alignment horizontal="center" vertical="center" wrapText="1"/>
      <protection locked="0"/>
    </xf>
    <xf numFmtId="14" fontId="7" fillId="0" borderId="0" xfId="0" applyNumberFormat="1" applyFont="1" applyAlignment="1" applyProtection="1">
      <alignment horizontal="left"/>
      <protection locked="0"/>
    </xf>
    <xf numFmtId="0" fontId="7" fillId="0" borderId="0" xfId="0" applyFont="1" applyAlignment="1" applyProtection="1">
      <alignment horizontal="left"/>
      <protection locked="0"/>
    </xf>
    <xf numFmtId="10" fontId="7" fillId="0" borderId="0" xfId="0" applyNumberFormat="1" applyFont="1" applyAlignment="1" applyProtection="1">
      <alignment horizontal="left"/>
      <protection locked="0"/>
    </xf>
    <xf numFmtId="0" fontId="7" fillId="0" borderId="0" xfId="0" quotePrefix="1" applyFont="1" applyAlignment="1" applyProtection="1">
      <alignment horizontal="left"/>
      <protection locked="0"/>
    </xf>
    <xf numFmtId="0" fontId="7" fillId="0" borderId="0" xfId="0" applyFont="1" applyAlignment="1" applyProtection="1">
      <alignment horizontal="center"/>
      <protection locked="0"/>
    </xf>
    <xf numFmtId="10" fontId="7" fillId="0" borderId="0" xfId="0" applyNumberFormat="1" applyFont="1" applyAlignment="1" applyProtection="1">
      <alignment horizontal="center"/>
      <protection locked="0"/>
    </xf>
    <xf numFmtId="0" fontId="33" fillId="16" borderId="0" xfId="1" applyFont="1" applyFill="1" applyBorder="1" applyAlignment="1">
      <alignment vertical="top" wrapText="1"/>
    </xf>
    <xf numFmtId="0" fontId="30" fillId="16" borderId="0" xfId="1" applyFont="1" applyFill="1" applyBorder="1" applyAlignment="1">
      <alignment horizontal="right" vertical="top"/>
    </xf>
    <xf numFmtId="0" fontId="30" fillId="16" borderId="0" xfId="1" applyFont="1" applyFill="1" applyBorder="1" applyAlignment="1">
      <alignment horizontal="right" vertical="center"/>
    </xf>
    <xf numFmtId="0" fontId="21" fillId="19" borderId="20" xfId="0" applyFont="1" applyFill="1" applyBorder="1" applyAlignment="1">
      <alignment vertical="center"/>
    </xf>
    <xf numFmtId="0" fontId="34" fillId="16" borderId="0" xfId="1" applyNumberFormat="1" applyFont="1" applyFill="1" applyBorder="1" applyAlignment="1">
      <alignment horizontal="right"/>
    </xf>
    <xf numFmtId="178" fontId="34" fillId="16" borderId="0" xfId="1" applyNumberFormat="1" applyFont="1" applyFill="1" applyBorder="1" applyAlignment="1">
      <alignment horizontal="right"/>
    </xf>
    <xf numFmtId="0" fontId="35" fillId="16" borderId="0" xfId="1" applyNumberFormat="1" applyFont="1" applyFill="1" applyBorder="1" applyAlignment="1">
      <alignment horizontal="right"/>
    </xf>
    <xf numFmtId="0" fontId="18" fillId="0" borderId="0" xfId="0" applyFont="1" applyAlignment="1">
      <alignment horizontal="left" vertical="center"/>
    </xf>
    <xf numFmtId="0" fontId="18" fillId="0" borderId="4" xfId="0" applyFont="1" applyBorder="1" applyAlignment="1" applyProtection="1">
      <alignment horizontal="left" vertical="center"/>
      <protection locked="0"/>
    </xf>
    <xf numFmtId="0" fontId="29" fillId="16" borderId="0" xfId="0" applyFont="1" applyFill="1" applyAlignment="1">
      <alignment horizontal="left" vertical="top"/>
    </xf>
    <xf numFmtId="0" fontId="29" fillId="16" borderId="0" xfId="0" applyFont="1" applyFill="1" applyAlignment="1">
      <alignment horizontal="left" vertical="center"/>
    </xf>
    <xf numFmtId="0" fontId="30" fillId="16" borderId="0" xfId="0" applyFont="1" applyFill="1" applyAlignment="1">
      <alignment horizontal="left" vertical="top"/>
    </xf>
    <xf numFmtId="0" fontId="31" fillId="16" borderId="0" xfId="0" applyFont="1" applyFill="1" applyAlignment="1">
      <alignment vertical="center"/>
    </xf>
    <xf numFmtId="14" fontId="31" fillId="16" borderId="0" xfId="0" applyNumberFormat="1" applyFont="1" applyFill="1" applyAlignment="1">
      <alignment vertical="top"/>
    </xf>
    <xf numFmtId="14" fontId="32" fillId="16" borderId="0" xfId="0" applyNumberFormat="1" applyFont="1" applyFill="1" applyAlignment="1">
      <alignment horizontal="left" vertical="top" wrapText="1"/>
    </xf>
    <xf numFmtId="178" fontId="33" fillId="16" borderId="0" xfId="0" applyNumberFormat="1" applyFont="1" applyFill="1" applyAlignment="1">
      <alignment horizontal="center" vertical="top"/>
    </xf>
    <xf numFmtId="178" fontId="29" fillId="16" borderId="0" xfId="0" applyNumberFormat="1" applyFont="1" applyFill="1" applyAlignment="1">
      <alignment horizontal="center" vertical="top"/>
    </xf>
    <xf numFmtId="178" fontId="31" fillId="16" borderId="0" xfId="0" applyNumberFormat="1" applyFont="1" applyFill="1" applyAlignment="1">
      <alignment horizontal="center" vertical="top"/>
    </xf>
    <xf numFmtId="14" fontId="31" fillId="16" borderId="0" xfId="0" applyNumberFormat="1" applyFont="1" applyFill="1" applyAlignment="1">
      <alignment horizontal="center" vertical="top"/>
    </xf>
    <xf numFmtId="1" fontId="31" fillId="16" borderId="0" xfId="0" applyNumberFormat="1" applyFont="1" applyFill="1" applyAlignment="1">
      <alignment horizontal="center" vertical="top"/>
    </xf>
    <xf numFmtId="0" fontId="18" fillId="16" borderId="0" xfId="0" applyFont="1" applyFill="1" applyAlignment="1">
      <alignment horizontal="left" vertical="center"/>
    </xf>
    <xf numFmtId="0" fontId="29" fillId="16" borderId="0" xfId="0" applyFont="1" applyFill="1" applyAlignment="1">
      <alignment horizontal="left"/>
    </xf>
    <xf numFmtId="0" fontId="30" fillId="16" borderId="0" xfId="0" applyFont="1" applyFill="1" applyAlignment="1">
      <alignment horizontal="left"/>
    </xf>
    <xf numFmtId="10" fontId="34" fillId="16" borderId="0" xfId="0" applyNumberFormat="1" applyFont="1" applyFill="1" applyAlignment="1">
      <alignment horizontal="right"/>
    </xf>
    <xf numFmtId="0" fontId="18" fillId="0" borderId="23" xfId="0" applyFont="1" applyBorder="1" applyAlignment="1" applyProtection="1">
      <alignment vertical="top"/>
      <protection locked="0"/>
    </xf>
    <xf numFmtId="0" fontId="18" fillId="0" borderId="23" xfId="0" applyFont="1" applyBorder="1" applyAlignment="1" applyProtection="1">
      <alignment horizontal="left" vertical="top"/>
      <protection locked="0"/>
    </xf>
    <xf numFmtId="14" fontId="18" fillId="0" borderId="23" xfId="0" applyNumberFormat="1" applyFont="1" applyBorder="1" applyAlignment="1" applyProtection="1">
      <alignment horizontal="center" vertical="top"/>
      <protection locked="0"/>
    </xf>
    <xf numFmtId="178" fontId="18" fillId="0" borderId="23" xfId="0" applyNumberFormat="1" applyFont="1" applyBorder="1" applyAlignment="1" applyProtection="1">
      <alignment horizontal="center" vertical="top"/>
      <protection locked="0"/>
    </xf>
    <xf numFmtId="177" fontId="18" fillId="0" borderId="23" xfId="0" applyNumberFormat="1" applyFont="1" applyBorder="1" applyAlignment="1" applyProtection="1">
      <alignment horizontal="center" vertical="top"/>
      <protection locked="0"/>
    </xf>
    <xf numFmtId="1" fontId="18" fillId="0" borderId="23" xfId="0" applyNumberFormat="1" applyFont="1" applyBorder="1" applyAlignment="1" applyProtection="1">
      <alignment horizontal="center" vertical="top"/>
      <protection locked="0"/>
    </xf>
    <xf numFmtId="0" fontId="18" fillId="0" borderId="5" xfId="0" applyFont="1" applyBorder="1" applyAlignment="1" applyProtection="1">
      <alignment vertical="top"/>
      <protection locked="0"/>
    </xf>
    <xf numFmtId="0" fontId="18" fillId="0" borderId="5" xfId="0" applyFont="1" applyBorder="1" applyAlignment="1" applyProtection="1">
      <alignment horizontal="center" vertical="top"/>
      <protection locked="0"/>
    </xf>
    <xf numFmtId="0" fontId="18" fillId="0" borderId="5" xfId="0" applyFont="1" applyBorder="1" applyAlignment="1" applyProtection="1">
      <alignment horizontal="left" vertical="top"/>
      <protection locked="0"/>
    </xf>
    <xf numFmtId="14" fontId="18" fillId="0" borderId="5" xfId="0" applyNumberFormat="1" applyFont="1" applyBorder="1" applyAlignment="1" applyProtection="1">
      <alignment horizontal="center" vertical="top"/>
      <protection locked="0"/>
    </xf>
    <xf numFmtId="178" fontId="18" fillId="0" borderId="5" xfId="0" applyNumberFormat="1" applyFont="1" applyBorder="1" applyAlignment="1" applyProtection="1">
      <alignment horizontal="center" vertical="top"/>
      <protection locked="0"/>
    </xf>
    <xf numFmtId="177" fontId="18" fillId="0" borderId="5" xfId="0" applyNumberFormat="1" applyFont="1" applyBorder="1" applyAlignment="1" applyProtection="1">
      <alignment horizontal="center" vertical="top"/>
      <protection locked="0"/>
    </xf>
    <xf numFmtId="1" fontId="18" fillId="0" borderId="5" xfId="0" applyNumberFormat="1" applyFont="1" applyBorder="1" applyAlignment="1" applyProtection="1">
      <alignment horizontal="center" vertical="top"/>
      <protection locked="0"/>
    </xf>
    <xf numFmtId="10" fontId="18" fillId="0" borderId="5" xfId="0" applyNumberFormat="1" applyFont="1" applyBorder="1" applyAlignment="1" applyProtection="1">
      <alignment horizontal="right" vertical="top" wrapText="1"/>
      <protection locked="0"/>
    </xf>
    <xf numFmtId="10" fontId="18" fillId="0" borderId="5" xfId="0" applyNumberFormat="1" applyFont="1" applyBorder="1" applyAlignment="1" applyProtection="1">
      <alignment horizontal="right" vertical="top"/>
      <protection locked="0"/>
    </xf>
    <xf numFmtId="0" fontId="2" fillId="16" borderId="0" xfId="1" applyFill="1" applyAlignment="1">
      <alignment horizontal="left" vertical="center"/>
    </xf>
    <xf numFmtId="0" fontId="31" fillId="16" borderId="0" xfId="0" applyFont="1" applyFill="1" applyAlignment="1">
      <alignment horizontal="left" vertical="center"/>
    </xf>
    <xf numFmtId="0" fontId="18" fillId="0" borderId="24" xfId="0" applyFont="1" applyBorder="1" applyAlignment="1" applyProtection="1">
      <alignment vertical="top"/>
      <protection locked="0"/>
    </xf>
    <xf numFmtId="0" fontId="18" fillId="0" borderId="24" xfId="0" applyFont="1" applyBorder="1" applyAlignment="1" applyProtection="1">
      <alignment horizontal="center" vertical="top"/>
      <protection locked="0"/>
    </xf>
    <xf numFmtId="0" fontId="18" fillId="0" borderId="24" xfId="0" applyFont="1" applyBorder="1" applyAlignment="1" applyProtection="1">
      <alignment horizontal="left" vertical="top"/>
      <protection locked="0"/>
    </xf>
    <xf numFmtId="14" fontId="18" fillId="0" borderId="24" xfId="0" applyNumberFormat="1" applyFont="1" applyBorder="1" applyAlignment="1" applyProtection="1">
      <alignment horizontal="center" vertical="top"/>
      <protection locked="0"/>
    </xf>
    <xf numFmtId="178" fontId="18" fillId="0" borderId="24" xfId="0" applyNumberFormat="1" applyFont="1" applyBorder="1" applyAlignment="1" applyProtection="1">
      <alignment horizontal="center" vertical="top"/>
      <protection locked="0"/>
    </xf>
    <xf numFmtId="177" fontId="18" fillId="0" borderId="24" xfId="0" applyNumberFormat="1" applyFont="1" applyBorder="1" applyAlignment="1" applyProtection="1">
      <alignment horizontal="center" vertical="top"/>
      <protection locked="0"/>
    </xf>
    <xf numFmtId="1" fontId="18" fillId="0" borderId="24" xfId="0" applyNumberFormat="1" applyFont="1" applyBorder="1" applyAlignment="1" applyProtection="1">
      <alignment horizontal="center" vertical="top"/>
      <protection locked="0"/>
    </xf>
    <xf numFmtId="10" fontId="18" fillId="0" borderId="24" xfId="0" applyNumberFormat="1" applyFont="1" applyBorder="1" applyAlignment="1" applyProtection="1">
      <alignment horizontal="right" vertical="top" wrapText="1"/>
      <protection locked="0"/>
    </xf>
    <xf numFmtId="10" fontId="18" fillId="0" borderId="24" xfId="0" applyNumberFormat="1" applyFont="1" applyBorder="1" applyAlignment="1" applyProtection="1">
      <alignment horizontal="right" vertical="top"/>
      <protection locked="0"/>
    </xf>
    <xf numFmtId="10" fontId="18" fillId="0" borderId="23" xfId="2" applyNumberFormat="1" applyFont="1" applyBorder="1" applyAlignment="1" applyProtection="1">
      <alignment horizontal="right" vertical="top" wrapText="1"/>
      <protection locked="0"/>
    </xf>
    <xf numFmtId="0" fontId="18" fillId="0" borderId="23" xfId="0" quotePrefix="1" applyFont="1" applyBorder="1" applyAlignment="1" applyProtection="1">
      <alignment horizontal="left" vertical="top"/>
      <protection locked="0"/>
    </xf>
    <xf numFmtId="0" fontId="40" fillId="16" borderId="0" xfId="1" applyFont="1" applyFill="1" applyAlignment="1">
      <alignment horizontal="left" vertical="center"/>
    </xf>
    <xf numFmtId="0" fontId="18" fillId="0" borderId="25" xfId="0" applyFont="1" applyBorder="1" applyAlignment="1" applyProtection="1">
      <alignment horizontal="left" vertical="center"/>
      <protection locked="0"/>
    </xf>
    <xf numFmtId="0" fontId="18" fillId="0" borderId="29" xfId="0" applyFont="1" applyBorder="1" applyAlignment="1" applyProtection="1">
      <alignment horizontal="left" vertical="center"/>
      <protection locked="0"/>
    </xf>
    <xf numFmtId="0" fontId="18" fillId="0" borderId="30" xfId="0" applyFont="1" applyBorder="1" applyAlignment="1" applyProtection="1">
      <alignment horizontal="left" vertical="center"/>
      <protection locked="0"/>
    </xf>
    <xf numFmtId="10" fontId="18" fillId="20" borderId="23" xfId="2" applyNumberFormat="1" applyFont="1" applyFill="1" applyBorder="1" applyAlignment="1" applyProtection="1">
      <alignment horizontal="right" vertical="top"/>
      <protection locked="0"/>
    </xf>
    <xf numFmtId="10" fontId="39" fillId="20" borderId="23" xfId="2" applyNumberFormat="1" applyFont="1" applyFill="1" applyBorder="1" applyAlignment="1" applyProtection="1">
      <alignment horizontal="right" vertical="top"/>
      <protection locked="0"/>
    </xf>
    <xf numFmtId="10" fontId="18" fillId="16" borderId="23" xfId="2" applyNumberFormat="1" applyFont="1" applyFill="1" applyBorder="1" applyAlignment="1" applyProtection="1">
      <alignment horizontal="right" vertical="top"/>
      <protection locked="0"/>
    </xf>
    <xf numFmtId="0" fontId="8" fillId="21" borderId="0" xfId="0" applyFont="1" applyFill="1" applyAlignment="1">
      <alignment vertical="top"/>
    </xf>
    <xf numFmtId="0" fontId="8" fillId="21" borderId="0" xfId="0" applyFont="1" applyFill="1" applyAlignment="1">
      <alignment horizontal="left" vertical="top"/>
    </xf>
    <xf numFmtId="0" fontId="45" fillId="3" borderId="1" xfId="0" applyFont="1" applyFill="1" applyBorder="1" applyAlignment="1">
      <alignment horizontal="center" vertical="center"/>
    </xf>
    <xf numFmtId="0" fontId="45" fillId="3" borderId="1" xfId="0" applyFont="1" applyFill="1" applyBorder="1" applyAlignment="1">
      <alignment horizontal="center" vertical="center" wrapText="1"/>
    </xf>
    <xf numFmtId="0" fontId="46" fillId="0" borderId="0" xfId="0" applyFont="1" applyAlignment="1">
      <alignment vertical="top"/>
    </xf>
    <xf numFmtId="0" fontId="46" fillId="0" borderId="0" xfId="0" applyFont="1" applyAlignment="1">
      <alignment horizontal="center" vertical="top"/>
    </xf>
    <xf numFmtId="0" fontId="47" fillId="0" borderId="0" xfId="0" applyFont="1" applyAlignment="1">
      <alignment vertical="top"/>
    </xf>
    <xf numFmtId="0" fontId="46" fillId="0" borderId="0" xfId="0" applyFont="1" applyAlignment="1">
      <alignment vertical="top" wrapText="1"/>
    </xf>
    <xf numFmtId="0" fontId="46" fillId="0" borderId="0" xfId="0" applyFont="1" applyAlignment="1">
      <alignment horizontal="left" vertical="top" wrapText="1"/>
    </xf>
    <xf numFmtId="0" fontId="46" fillId="0" borderId="0" xfId="0" applyFont="1" applyAlignment="1">
      <alignment horizontal="left" vertical="top"/>
    </xf>
    <xf numFmtId="0" fontId="47" fillId="0" borderId="0" xfId="0" applyFont="1" applyAlignment="1">
      <alignment horizontal="left" vertical="top"/>
    </xf>
    <xf numFmtId="14" fontId="46" fillId="0" borderId="0" xfId="0" applyNumberFormat="1" applyFont="1" applyAlignment="1">
      <alignment horizontal="left" vertical="top" wrapText="1"/>
    </xf>
    <xf numFmtId="0" fontId="46" fillId="0" borderId="0" xfId="0" applyFont="1"/>
    <xf numFmtId="0" fontId="44" fillId="0" borderId="0" xfId="0" applyFont="1" applyAlignment="1">
      <alignment horizontal="left" vertical="top"/>
    </xf>
    <xf numFmtId="0" fontId="47" fillId="0" borderId="0" xfId="0" applyFont="1" applyAlignment="1">
      <alignment horizontal="left" vertical="top" wrapText="1"/>
    </xf>
    <xf numFmtId="0" fontId="49" fillId="8" borderId="17" xfId="1" applyFont="1" applyFill="1" applyBorder="1" applyAlignment="1" applyProtection="1">
      <alignment horizontal="center" vertical="center" wrapText="1"/>
      <protection locked="0"/>
    </xf>
    <xf numFmtId="0" fontId="14" fillId="21" borderId="0" xfId="0" applyFont="1" applyFill="1"/>
    <xf numFmtId="0" fontId="2" fillId="21" borderId="0" xfId="1" applyFill="1" applyBorder="1" applyAlignment="1">
      <alignment horizontal="left" vertical="top"/>
    </xf>
    <xf numFmtId="14" fontId="8" fillId="21" borderId="0" xfId="0" applyNumberFormat="1" applyFont="1" applyFill="1" applyAlignment="1">
      <alignment horizontal="left" vertical="top"/>
    </xf>
    <xf numFmtId="0" fontId="8" fillId="18" borderId="0" xfId="0" applyFont="1" applyFill="1" applyAlignment="1">
      <alignment vertical="top"/>
    </xf>
    <xf numFmtId="0" fontId="8" fillId="18" borderId="0" xfId="0" quotePrefix="1" applyFont="1" applyFill="1" applyAlignment="1">
      <alignment horizontal="left" vertical="top"/>
    </xf>
    <xf numFmtId="0" fontId="8" fillId="18" borderId="0" xfId="0" applyFont="1" applyFill="1" applyAlignment="1">
      <alignment horizontal="left" vertical="top"/>
    </xf>
    <xf numFmtId="0" fontId="51" fillId="0" borderId="0" xfId="0" applyFont="1" applyAlignment="1">
      <alignment vertical="top" wrapText="1"/>
    </xf>
    <xf numFmtId="0" fontId="52" fillId="0" borderId="0" xfId="0" applyFont="1" applyAlignment="1">
      <alignment vertical="top" wrapText="1"/>
    </xf>
    <xf numFmtId="0" fontId="53" fillId="0" borderId="0" xfId="0" applyFont="1" applyAlignment="1">
      <alignment vertical="top" wrapText="1"/>
    </xf>
    <xf numFmtId="10" fontId="39" fillId="16" borderId="23" xfId="2" applyNumberFormat="1" applyFont="1" applyFill="1" applyBorder="1" applyAlignment="1" applyProtection="1">
      <alignment horizontal="right" vertical="top"/>
      <protection locked="0"/>
    </xf>
    <xf numFmtId="10" fontId="7" fillId="0" borderId="0" xfId="0" applyNumberFormat="1" applyFont="1"/>
    <xf numFmtId="0" fontId="41" fillId="16" borderId="0" xfId="0" applyFont="1" applyFill="1" applyAlignment="1">
      <alignment horizontal="left" vertical="center"/>
    </xf>
    <xf numFmtId="10" fontId="7" fillId="5" borderId="2" xfId="0" applyNumberFormat="1" applyFont="1" applyFill="1" applyBorder="1" applyAlignment="1">
      <alignment horizontal="left" wrapText="1"/>
    </xf>
    <xf numFmtId="0" fontId="7" fillId="5" borderId="3" xfId="0" applyFont="1" applyFill="1" applyBorder="1" applyAlignment="1">
      <alignment horizontal="left" wrapText="1"/>
    </xf>
    <xf numFmtId="0" fontId="7" fillId="0" borderId="0" xfId="0" quotePrefix="1" applyFont="1"/>
    <xf numFmtId="0" fontId="2" fillId="0" borderId="0" xfId="1" quotePrefix="1" applyBorder="1"/>
    <xf numFmtId="0" fontId="56" fillId="22" borderId="0" xfId="0" quotePrefix="1" applyFont="1" applyFill="1"/>
    <xf numFmtId="0" fontId="2" fillId="22" borderId="0" xfId="1" quotePrefix="1" applyFill="1" applyBorder="1"/>
    <xf numFmtId="0" fontId="7" fillId="22" borderId="0" xfId="0" quotePrefix="1" applyFont="1" applyFill="1"/>
    <xf numFmtId="14" fontId="7" fillId="22" borderId="0" xfId="0" applyNumberFormat="1" applyFont="1" applyFill="1"/>
    <xf numFmtId="10" fontId="7" fillId="22" borderId="0" xfId="0" applyNumberFormat="1" applyFont="1" applyFill="1"/>
    <xf numFmtId="0" fontId="7" fillId="22" borderId="0" xfId="0" applyFont="1" applyFill="1"/>
    <xf numFmtId="10" fontId="57" fillId="0" borderId="0" xfId="0" applyNumberFormat="1" applyFont="1"/>
    <xf numFmtId="10" fontId="57" fillId="22" borderId="0" xfId="0" applyNumberFormat="1" applyFont="1" applyFill="1"/>
    <xf numFmtId="10" fontId="18" fillId="23" borderId="23" xfId="2" applyNumberFormat="1" applyFont="1" applyFill="1" applyBorder="1" applyAlignment="1" applyProtection="1">
      <alignment horizontal="right" vertical="top"/>
      <protection locked="0"/>
    </xf>
    <xf numFmtId="10" fontId="39" fillId="23" borderId="23" xfId="2" applyNumberFormat="1" applyFont="1" applyFill="1" applyBorder="1" applyAlignment="1" applyProtection="1">
      <alignment horizontal="right" vertical="top"/>
      <protection locked="0"/>
    </xf>
    <xf numFmtId="0" fontId="18" fillId="0" borderId="23" xfId="0" applyFont="1" applyBorder="1" applyAlignment="1" applyProtection="1">
      <alignment horizontal="center" vertical="center"/>
      <protection locked="0"/>
    </xf>
    <xf numFmtId="0" fontId="56" fillId="22" borderId="0" xfId="0" applyFont="1" applyFill="1"/>
    <xf numFmtId="0" fontId="42" fillId="18" borderId="26" xfId="0" applyFont="1" applyFill="1" applyBorder="1" applyAlignment="1">
      <alignment horizontal="left" vertical="center" wrapText="1"/>
    </xf>
    <xf numFmtId="0" fontId="42" fillId="18" borderId="27" xfId="0" applyFont="1" applyFill="1" applyBorder="1" applyAlignment="1">
      <alignment horizontal="left" vertical="center" wrapText="1"/>
    </xf>
    <xf numFmtId="0" fontId="42" fillId="18" borderId="28" xfId="0" applyFont="1" applyFill="1" applyBorder="1" applyAlignment="1">
      <alignment horizontal="left" vertical="center" wrapText="1"/>
    </xf>
    <xf numFmtId="14" fontId="58" fillId="18" borderId="26" xfId="0" applyNumberFormat="1" applyFont="1" applyFill="1" applyBorder="1" applyAlignment="1">
      <alignment horizontal="center" vertical="center"/>
    </xf>
    <xf numFmtId="14" fontId="58" fillId="18" borderId="27" xfId="0" applyNumberFormat="1" applyFont="1" applyFill="1" applyBorder="1" applyAlignment="1">
      <alignment horizontal="center" vertical="center"/>
    </xf>
    <xf numFmtId="14" fontId="58" fillId="18" borderId="28" xfId="0" applyNumberFormat="1" applyFont="1" applyFill="1" applyBorder="1" applyAlignment="1">
      <alignment horizontal="center" vertical="center"/>
    </xf>
    <xf numFmtId="0" fontId="59" fillId="0" borderId="0" xfId="0" applyFont="1" applyAlignment="1">
      <alignment horizontal="left" vertical="center"/>
    </xf>
    <xf numFmtId="0" fontId="33" fillId="16" borderId="0" xfId="1" applyFont="1" applyFill="1" applyBorder="1" applyAlignment="1">
      <alignment horizontal="center" vertical="center"/>
    </xf>
    <xf numFmtId="0" fontId="35" fillId="16" borderId="0" xfId="1" applyNumberFormat="1" applyFont="1" applyFill="1" applyBorder="1" applyAlignment="1">
      <alignment horizontal="center" vertical="center"/>
    </xf>
    <xf numFmtId="14" fontId="18" fillId="0" borderId="23" xfId="0" applyNumberFormat="1" applyFont="1" applyBorder="1" applyAlignment="1" applyProtection="1">
      <alignment horizontal="center" vertical="center"/>
      <protection locked="0"/>
    </xf>
    <xf numFmtId="14" fontId="18" fillId="0" borderId="24" xfId="0" applyNumberFormat="1" applyFont="1" applyBorder="1" applyAlignment="1" applyProtection="1">
      <alignment horizontal="center" vertical="center"/>
      <protection locked="0"/>
    </xf>
    <xf numFmtId="14" fontId="18" fillId="0" borderId="5" xfId="0" applyNumberFormat="1" applyFont="1" applyBorder="1" applyAlignment="1" applyProtection="1">
      <alignment horizontal="center" vertical="center"/>
      <protection locked="0"/>
    </xf>
    <xf numFmtId="0" fontId="33" fillId="16" borderId="0" xfId="1" applyNumberFormat="1" applyFont="1" applyFill="1" applyBorder="1" applyAlignment="1">
      <alignment horizontal="center" vertical="center"/>
    </xf>
    <xf numFmtId="0" fontId="34" fillId="16" borderId="0" xfId="1" applyNumberFormat="1" applyFont="1" applyFill="1" applyBorder="1" applyAlignment="1">
      <alignment horizontal="center" vertical="center"/>
    </xf>
    <xf numFmtId="0" fontId="18" fillId="0" borderId="24" xfId="0" applyFont="1" applyBorder="1" applyAlignment="1" applyProtection="1">
      <alignment horizontal="center" vertical="center"/>
      <protection locked="0"/>
    </xf>
    <xf numFmtId="0" fontId="18" fillId="0" borderId="5" xfId="0" applyFont="1" applyBorder="1" applyAlignment="1" applyProtection="1">
      <alignment horizontal="center" vertical="center"/>
      <protection locked="0"/>
    </xf>
    <xf numFmtId="0" fontId="60" fillId="0" borderId="23" xfId="0" applyFont="1" applyBorder="1" applyAlignment="1" applyProtection="1">
      <alignment horizontal="left" vertical="top"/>
      <protection locked="0"/>
    </xf>
    <xf numFmtId="0" fontId="7" fillId="0" borderId="18" xfId="0" applyFont="1" applyBorder="1" applyAlignment="1" applyProtection="1">
      <alignment horizontal="left" vertical="top" wrapText="1"/>
      <protection locked="0"/>
    </xf>
    <xf numFmtId="0" fontId="7" fillId="0" borderId="18" xfId="0" applyFont="1" applyBorder="1" applyAlignment="1" applyProtection="1">
      <alignment horizontal="left" vertical="center" wrapText="1"/>
      <protection locked="0"/>
    </xf>
    <xf numFmtId="0" fontId="37" fillId="19" borderId="22" xfId="1" applyFont="1" applyFill="1" applyBorder="1" applyAlignment="1">
      <alignment vertical="center"/>
    </xf>
    <xf numFmtId="0" fontId="0" fillId="19" borderId="22" xfId="0" applyFill="1" applyBorder="1" applyAlignment="1">
      <alignment vertical="center"/>
    </xf>
    <xf numFmtId="0" fontId="28" fillId="19" borderId="19" xfId="0" applyFont="1" applyFill="1" applyBorder="1" applyAlignment="1">
      <alignment horizontal="center" vertical="center"/>
    </xf>
    <xf numFmtId="0" fontId="28" fillId="19" borderId="20" xfId="0" applyFont="1" applyFill="1" applyBorder="1" applyAlignment="1">
      <alignment horizontal="center" vertical="center"/>
    </xf>
    <xf numFmtId="0" fontId="28" fillId="19" borderId="21" xfId="0" applyFont="1" applyFill="1" applyBorder="1" applyAlignment="1">
      <alignment horizontal="center" vertical="center"/>
    </xf>
    <xf numFmtId="0" fontId="28" fillId="19" borderId="22" xfId="0" applyFont="1" applyFill="1" applyBorder="1" applyAlignment="1">
      <alignment horizontal="center" vertical="center"/>
    </xf>
    <xf numFmtId="0" fontId="43" fillId="19" borderId="20" xfId="1" applyFont="1" applyFill="1" applyBorder="1" applyAlignment="1">
      <alignment horizontal="right"/>
    </xf>
    <xf numFmtId="0" fontId="0" fillId="19" borderId="20" xfId="0" applyFill="1" applyBorder="1" applyAlignment="1">
      <alignment horizontal="right"/>
    </xf>
    <xf numFmtId="0" fontId="50" fillId="0" borderId="0" xfId="0" applyFont="1" applyAlignment="1">
      <alignment horizontal="left" vertical="top" wrapText="1"/>
    </xf>
    <xf numFmtId="0" fontId="21" fillId="0" borderId="0" xfId="0" applyFont="1" applyAlignment="1">
      <alignment horizontal="left" vertical="top" wrapText="1"/>
    </xf>
    <xf numFmtId="0" fontId="27" fillId="14" borderId="0" xfId="0" applyFont="1" applyFill="1" applyAlignment="1">
      <alignment horizontal="left" vertical="top" wrapText="1"/>
    </xf>
    <xf numFmtId="10" fontId="17" fillId="8" borderId="3" xfId="0" applyNumberFormat="1" applyFont="1" applyFill="1" applyBorder="1" applyAlignment="1">
      <alignment horizontal="center" vertical="center" wrapText="1"/>
    </xf>
    <xf numFmtId="10" fontId="17" fillId="17" borderId="3" xfId="0" applyNumberFormat="1" applyFont="1" applyFill="1" applyBorder="1" applyAlignment="1">
      <alignment horizontal="center" vertical="center" wrapText="1"/>
    </xf>
    <xf numFmtId="0" fontId="34" fillId="16" borderId="0" xfId="0" applyFont="1" applyFill="1" applyAlignment="1">
      <alignment horizontal="center" wrapText="1"/>
    </xf>
    <xf numFmtId="176" fontId="17" fillId="8" borderId="2" xfId="0" applyNumberFormat="1" applyFont="1" applyFill="1" applyBorder="1" applyAlignment="1">
      <alignment horizontal="center" vertical="center"/>
    </xf>
    <xf numFmtId="176" fontId="17" fillId="17" borderId="2" xfId="0" applyNumberFormat="1" applyFont="1" applyFill="1" applyBorder="1" applyAlignment="1">
      <alignment horizontal="center" vertical="center"/>
    </xf>
    <xf numFmtId="14" fontId="17" fillId="8" borderId="2" xfId="0" applyNumberFormat="1" applyFont="1" applyFill="1" applyBorder="1" applyAlignment="1">
      <alignment horizontal="center" vertical="center"/>
    </xf>
    <xf numFmtId="14" fontId="17" fillId="17" borderId="2" xfId="0" applyNumberFormat="1" applyFont="1" applyFill="1" applyBorder="1" applyAlignment="1">
      <alignment horizontal="center" vertical="center"/>
    </xf>
    <xf numFmtId="0" fontId="17" fillId="8" borderId="2" xfId="0" applyFont="1" applyFill="1" applyBorder="1" applyAlignment="1">
      <alignment horizontal="center" vertical="center"/>
    </xf>
    <xf numFmtId="0" fontId="17" fillId="17" borderId="2" xfId="0" applyFont="1" applyFill="1" applyBorder="1" applyAlignment="1">
      <alignment horizontal="center" vertical="center"/>
    </xf>
    <xf numFmtId="178" fontId="17" fillId="18" borderId="2" xfId="0" applyNumberFormat="1" applyFont="1" applyFill="1" applyBorder="1" applyAlignment="1">
      <alignment horizontal="center" vertical="center" wrapText="1"/>
    </xf>
    <xf numFmtId="178" fontId="17" fillId="10" borderId="2" xfId="0" applyNumberFormat="1" applyFont="1" applyFill="1" applyBorder="1" applyAlignment="1">
      <alignment horizontal="center" vertical="center" wrapText="1"/>
    </xf>
    <xf numFmtId="177" fontId="17" fillId="18" borderId="2" xfId="0" applyNumberFormat="1" applyFont="1" applyFill="1" applyBorder="1" applyAlignment="1">
      <alignment horizontal="center" vertical="center" wrapText="1"/>
    </xf>
    <xf numFmtId="177" fontId="17" fillId="17" borderId="2" xfId="0" applyNumberFormat="1" applyFont="1" applyFill="1" applyBorder="1" applyAlignment="1">
      <alignment horizontal="center" vertical="center" wrapText="1"/>
    </xf>
    <xf numFmtId="1" fontId="17" fillId="18" borderId="2" xfId="0" applyNumberFormat="1" applyFont="1" applyFill="1" applyBorder="1" applyAlignment="1">
      <alignment horizontal="center" vertical="center" wrapText="1"/>
    </xf>
    <xf numFmtId="1" fontId="17" fillId="17" borderId="2" xfId="0" applyNumberFormat="1" applyFont="1" applyFill="1" applyBorder="1" applyAlignment="1">
      <alignment horizontal="center" vertical="center" wrapText="1"/>
    </xf>
    <xf numFmtId="178" fontId="17" fillId="18" borderId="2" xfId="0" applyNumberFormat="1" applyFont="1" applyFill="1" applyBorder="1" applyAlignment="1">
      <alignment horizontal="center" vertical="top" wrapText="1"/>
    </xf>
    <xf numFmtId="178" fontId="17" fillId="10" borderId="2" xfId="0" applyNumberFormat="1" applyFont="1" applyFill="1" applyBorder="1" applyAlignment="1">
      <alignment horizontal="center" vertical="top" wrapText="1"/>
    </xf>
    <xf numFmtId="14" fontId="17" fillId="8" borderId="2" xfId="0" applyNumberFormat="1" applyFont="1" applyFill="1" applyBorder="1" applyAlignment="1">
      <alignment horizontal="center" vertical="center" wrapText="1"/>
    </xf>
    <xf numFmtId="10" fontId="17" fillId="18" borderId="2" xfId="0" applyNumberFormat="1" applyFont="1" applyFill="1" applyBorder="1" applyAlignment="1">
      <alignment horizontal="center" vertical="center" wrapText="1"/>
    </xf>
    <xf numFmtId="10" fontId="17" fillId="10" borderId="2" xfId="0" applyNumberFormat="1" applyFont="1" applyFill="1" applyBorder="1" applyAlignment="1">
      <alignment horizontal="center" vertical="center" wrapText="1"/>
    </xf>
    <xf numFmtId="0" fontId="17" fillId="15" borderId="1" xfId="0" applyFont="1" applyFill="1" applyBorder="1" applyAlignment="1">
      <alignment horizontal="center" vertical="center" wrapText="1"/>
    </xf>
    <xf numFmtId="0" fontId="17" fillId="15" borderId="0" xfId="0" applyFont="1" applyFill="1" applyAlignment="1">
      <alignment horizontal="center" vertical="center" wrapText="1"/>
    </xf>
    <xf numFmtId="0" fontId="17" fillId="15" borderId="2" xfId="0" applyFont="1" applyFill="1" applyBorder="1" applyAlignment="1">
      <alignment horizontal="center" vertical="center"/>
    </xf>
    <xf numFmtId="0" fontId="17" fillId="15" borderId="16" xfId="0" applyFont="1" applyFill="1" applyBorder="1" applyAlignment="1">
      <alignment horizontal="center" vertical="center"/>
    </xf>
    <xf numFmtId="0" fontId="17" fillId="15" borderId="2" xfId="0" applyFont="1" applyFill="1" applyBorder="1" applyAlignment="1">
      <alignment horizontal="center" vertical="center" wrapText="1"/>
    </xf>
    <xf numFmtId="0" fontId="17" fillId="18" borderId="2" xfId="0" applyFont="1" applyFill="1" applyBorder="1" applyAlignment="1">
      <alignment horizontal="center" vertical="center"/>
    </xf>
    <xf numFmtId="0" fontId="17" fillId="8" borderId="3" xfId="0" applyFont="1" applyFill="1" applyBorder="1" applyAlignment="1">
      <alignment horizontal="center" vertical="center"/>
    </xf>
    <xf numFmtId="0" fontId="17" fillId="17" borderId="0" xfId="0" applyFont="1" applyFill="1" applyAlignment="1">
      <alignment horizontal="center" vertical="center"/>
    </xf>
    <xf numFmtId="0" fontId="17" fillId="17" borderId="3" xfId="0" applyFont="1" applyFill="1" applyBorder="1" applyAlignment="1">
      <alignment horizontal="center" vertical="center"/>
    </xf>
    <xf numFmtId="0" fontId="8" fillId="0" borderId="0" xfId="0" applyFont="1" applyAlignment="1" applyProtection="1">
      <alignment horizontal="left" vertical="center" wrapText="1"/>
      <protection locked="0"/>
    </xf>
    <xf numFmtId="0" fontId="8" fillId="0" borderId="0" xfId="0" applyFont="1" applyAlignment="1" applyProtection="1">
      <alignment horizontal="left" vertical="center"/>
      <protection locked="0"/>
    </xf>
    <xf numFmtId="0" fontId="5" fillId="0" borderId="0" xfId="0" applyFont="1" applyAlignment="1">
      <alignment horizontal="left" vertical="center"/>
    </xf>
    <xf numFmtId="0" fontId="4" fillId="0" borderId="0" xfId="0" applyFont="1" applyAlignment="1">
      <alignment horizontal="left" vertical="center"/>
    </xf>
    <xf numFmtId="14" fontId="9" fillId="2" borderId="0" xfId="0" applyNumberFormat="1" applyFont="1" applyFill="1" applyAlignment="1">
      <alignment horizontal="right" vertical="center"/>
    </xf>
    <xf numFmtId="0" fontId="20" fillId="0" borderId="0" xfId="0" applyFont="1" applyAlignment="1" applyProtection="1">
      <alignment horizontal="left" vertical="center" wrapText="1"/>
      <protection locked="0"/>
    </xf>
    <xf numFmtId="14" fontId="7" fillId="2" borderId="0" xfId="0" applyNumberFormat="1" applyFont="1" applyFill="1" applyAlignment="1">
      <alignment horizontal="left" vertical="top" wrapText="1"/>
    </xf>
    <xf numFmtId="14" fontId="12" fillId="6" borderId="14" xfId="0" applyNumberFormat="1" applyFont="1" applyFill="1" applyBorder="1" applyAlignment="1" applyProtection="1">
      <alignment horizontal="center" vertical="center"/>
      <protection locked="0"/>
    </xf>
  </cellXfs>
  <cellStyles count="3">
    <cellStyle name="백분율" xfId="2" builtinId="5"/>
    <cellStyle name="표준" xfId="0" builtinId="0"/>
    <cellStyle name="하이퍼링크" xfId="1" builtinId="8"/>
  </cellStyles>
  <dxfs count="4">
    <dxf>
      <fill>
        <patternFill>
          <bgColor rgb="FFFFC000"/>
        </patternFill>
      </fill>
    </dxf>
    <dxf>
      <fill>
        <patternFill>
          <fgColor indexed="64"/>
          <bgColor rgb="FFFFFF99"/>
        </patternFill>
      </fill>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FF8800"/>
      <color rgb="FFFF6600"/>
      <color rgb="FF0000FF"/>
      <color rgb="FF009900"/>
      <color rgb="FF11EFAA"/>
      <color rgb="FFF8F8F8"/>
      <color rgb="FFFF3300"/>
      <color rgb="FFFF0000"/>
      <color rgb="FF2592FF"/>
      <color rgb="FF66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143" name="연결선: 꺾임 142">
          <a:extLst>
            <a:ext uri="{FF2B5EF4-FFF2-40B4-BE49-F238E27FC236}">
              <a16:creationId xmlns:a16="http://schemas.microsoft.com/office/drawing/2014/main" id="{00000000-0008-0000-0100-00008F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4" name="연결선: 꺾임 143">
          <a:extLst>
            <a:ext uri="{FF2B5EF4-FFF2-40B4-BE49-F238E27FC236}">
              <a16:creationId xmlns:a16="http://schemas.microsoft.com/office/drawing/2014/main" id="{00000000-0008-0000-0100-000090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5" name="연결선: 꺾임 144">
          <a:extLst>
            <a:ext uri="{FF2B5EF4-FFF2-40B4-BE49-F238E27FC236}">
              <a16:creationId xmlns:a16="http://schemas.microsoft.com/office/drawing/2014/main" id="{00000000-0008-0000-0100-000091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6" name="연결선: 꺾임 145">
          <a:extLst>
            <a:ext uri="{FF2B5EF4-FFF2-40B4-BE49-F238E27FC236}">
              <a16:creationId xmlns:a16="http://schemas.microsoft.com/office/drawing/2014/main" id="{00000000-0008-0000-0100-000092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7" name="연결선: 꺾임 146">
          <a:extLst>
            <a:ext uri="{FF2B5EF4-FFF2-40B4-BE49-F238E27FC236}">
              <a16:creationId xmlns:a16="http://schemas.microsoft.com/office/drawing/2014/main" id="{00000000-0008-0000-0100-000093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8" name="연결선: 꺾임 147">
          <a:extLst>
            <a:ext uri="{FF2B5EF4-FFF2-40B4-BE49-F238E27FC236}">
              <a16:creationId xmlns:a16="http://schemas.microsoft.com/office/drawing/2014/main" id="{00000000-0008-0000-0100-000094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9" name="연결선: 꺾임 148">
          <a:extLst>
            <a:ext uri="{FF2B5EF4-FFF2-40B4-BE49-F238E27FC236}">
              <a16:creationId xmlns:a16="http://schemas.microsoft.com/office/drawing/2014/main" id="{00000000-0008-0000-0100-000095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0" name="연결선: 꺾임 149">
          <a:extLst>
            <a:ext uri="{FF2B5EF4-FFF2-40B4-BE49-F238E27FC236}">
              <a16:creationId xmlns:a16="http://schemas.microsoft.com/office/drawing/2014/main" id="{00000000-0008-0000-0100-000096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1" name="연결선: 꺾임 150">
          <a:extLst>
            <a:ext uri="{FF2B5EF4-FFF2-40B4-BE49-F238E27FC236}">
              <a16:creationId xmlns:a16="http://schemas.microsoft.com/office/drawing/2014/main" id="{00000000-0008-0000-0100-000097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2" name="연결선: 꺾임 151">
          <a:extLst>
            <a:ext uri="{FF2B5EF4-FFF2-40B4-BE49-F238E27FC236}">
              <a16:creationId xmlns:a16="http://schemas.microsoft.com/office/drawing/2014/main" id="{00000000-0008-0000-0100-00009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3" name="연결선: 꺾임 152">
          <a:extLst>
            <a:ext uri="{FF2B5EF4-FFF2-40B4-BE49-F238E27FC236}">
              <a16:creationId xmlns:a16="http://schemas.microsoft.com/office/drawing/2014/main" id="{00000000-0008-0000-0100-00009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4" name="연결선: 꺾임 153">
          <a:extLst>
            <a:ext uri="{FF2B5EF4-FFF2-40B4-BE49-F238E27FC236}">
              <a16:creationId xmlns:a16="http://schemas.microsoft.com/office/drawing/2014/main" id="{00000000-0008-0000-0100-00009A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5" name="연결선: 꺾임 154">
          <a:extLst>
            <a:ext uri="{FF2B5EF4-FFF2-40B4-BE49-F238E27FC236}">
              <a16:creationId xmlns:a16="http://schemas.microsoft.com/office/drawing/2014/main" id="{00000000-0008-0000-0100-00009B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6" name="연결선: 꺾임 155">
          <a:extLst>
            <a:ext uri="{FF2B5EF4-FFF2-40B4-BE49-F238E27FC236}">
              <a16:creationId xmlns:a16="http://schemas.microsoft.com/office/drawing/2014/main" id="{00000000-0008-0000-0100-00009C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7" name="연결선: 꺾임 156">
          <a:extLst>
            <a:ext uri="{FF2B5EF4-FFF2-40B4-BE49-F238E27FC236}">
              <a16:creationId xmlns:a16="http://schemas.microsoft.com/office/drawing/2014/main" id="{00000000-0008-0000-0100-00009D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8" name="연결선: 꺾임 157">
          <a:extLst>
            <a:ext uri="{FF2B5EF4-FFF2-40B4-BE49-F238E27FC236}">
              <a16:creationId xmlns:a16="http://schemas.microsoft.com/office/drawing/2014/main" id="{00000000-0008-0000-0100-00009E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9" name="연결선: 꺾임 158">
          <a:extLst>
            <a:ext uri="{FF2B5EF4-FFF2-40B4-BE49-F238E27FC236}">
              <a16:creationId xmlns:a16="http://schemas.microsoft.com/office/drawing/2014/main" id="{00000000-0008-0000-0100-00009F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0" name="연결선: 꺾임 159">
          <a:extLst>
            <a:ext uri="{FF2B5EF4-FFF2-40B4-BE49-F238E27FC236}">
              <a16:creationId xmlns:a16="http://schemas.microsoft.com/office/drawing/2014/main" id="{00000000-0008-0000-0100-0000A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1" name="연결선: 꺾임 160">
          <a:extLst>
            <a:ext uri="{FF2B5EF4-FFF2-40B4-BE49-F238E27FC236}">
              <a16:creationId xmlns:a16="http://schemas.microsoft.com/office/drawing/2014/main" id="{00000000-0008-0000-0100-0000A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2" name="연결선: 꺾임 161">
          <a:extLst>
            <a:ext uri="{FF2B5EF4-FFF2-40B4-BE49-F238E27FC236}">
              <a16:creationId xmlns:a16="http://schemas.microsoft.com/office/drawing/2014/main" id="{00000000-0008-0000-0100-0000A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3" name="연결선: 꺾임 162">
          <a:extLst>
            <a:ext uri="{FF2B5EF4-FFF2-40B4-BE49-F238E27FC236}">
              <a16:creationId xmlns:a16="http://schemas.microsoft.com/office/drawing/2014/main" id="{00000000-0008-0000-0100-0000A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4" name="연결선: 꺾임 163">
          <a:extLst>
            <a:ext uri="{FF2B5EF4-FFF2-40B4-BE49-F238E27FC236}">
              <a16:creationId xmlns:a16="http://schemas.microsoft.com/office/drawing/2014/main" id="{00000000-0008-0000-0100-0000A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5" name="연결선: 꺾임 164">
          <a:extLst>
            <a:ext uri="{FF2B5EF4-FFF2-40B4-BE49-F238E27FC236}">
              <a16:creationId xmlns:a16="http://schemas.microsoft.com/office/drawing/2014/main" id="{00000000-0008-0000-0100-0000A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6" name="연결선: 꺾임 165">
          <a:extLst>
            <a:ext uri="{FF2B5EF4-FFF2-40B4-BE49-F238E27FC236}">
              <a16:creationId xmlns:a16="http://schemas.microsoft.com/office/drawing/2014/main" id="{00000000-0008-0000-0100-0000A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7" name="연결선: 꺾임 166">
          <a:extLst>
            <a:ext uri="{FF2B5EF4-FFF2-40B4-BE49-F238E27FC236}">
              <a16:creationId xmlns:a16="http://schemas.microsoft.com/office/drawing/2014/main" id="{00000000-0008-0000-0100-0000A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8" name="연결선: 꺾임 167">
          <a:extLst>
            <a:ext uri="{FF2B5EF4-FFF2-40B4-BE49-F238E27FC236}">
              <a16:creationId xmlns:a16="http://schemas.microsoft.com/office/drawing/2014/main" id="{00000000-0008-0000-0100-0000A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9" name="연결선: 꺾임 168">
          <a:extLst>
            <a:ext uri="{FF2B5EF4-FFF2-40B4-BE49-F238E27FC236}">
              <a16:creationId xmlns:a16="http://schemas.microsoft.com/office/drawing/2014/main" id="{00000000-0008-0000-0100-0000A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0" name="연결선: 꺾임 169">
          <a:extLst>
            <a:ext uri="{FF2B5EF4-FFF2-40B4-BE49-F238E27FC236}">
              <a16:creationId xmlns:a16="http://schemas.microsoft.com/office/drawing/2014/main" id="{00000000-0008-0000-0100-0000A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1" name="연결선: 꺾임 170">
          <a:extLst>
            <a:ext uri="{FF2B5EF4-FFF2-40B4-BE49-F238E27FC236}">
              <a16:creationId xmlns:a16="http://schemas.microsoft.com/office/drawing/2014/main" id="{00000000-0008-0000-0100-0000A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2" name="연결선: 꺾임 171">
          <a:extLst>
            <a:ext uri="{FF2B5EF4-FFF2-40B4-BE49-F238E27FC236}">
              <a16:creationId xmlns:a16="http://schemas.microsoft.com/office/drawing/2014/main" id="{00000000-0008-0000-0100-0000A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3" name="연결선: 꺾임 172">
          <a:extLst>
            <a:ext uri="{FF2B5EF4-FFF2-40B4-BE49-F238E27FC236}">
              <a16:creationId xmlns:a16="http://schemas.microsoft.com/office/drawing/2014/main" id="{00000000-0008-0000-0100-0000A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4" name="연결선: 꺾임 173">
          <a:extLst>
            <a:ext uri="{FF2B5EF4-FFF2-40B4-BE49-F238E27FC236}">
              <a16:creationId xmlns:a16="http://schemas.microsoft.com/office/drawing/2014/main" id="{00000000-0008-0000-0100-0000A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5" name="연결선: 꺾임 174">
          <a:extLst>
            <a:ext uri="{FF2B5EF4-FFF2-40B4-BE49-F238E27FC236}">
              <a16:creationId xmlns:a16="http://schemas.microsoft.com/office/drawing/2014/main" id="{00000000-0008-0000-0100-0000A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6" name="연결선: 꺾임 175">
          <a:extLst>
            <a:ext uri="{FF2B5EF4-FFF2-40B4-BE49-F238E27FC236}">
              <a16:creationId xmlns:a16="http://schemas.microsoft.com/office/drawing/2014/main" id="{00000000-0008-0000-0100-0000B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7" name="연결선: 꺾임 176">
          <a:extLst>
            <a:ext uri="{FF2B5EF4-FFF2-40B4-BE49-F238E27FC236}">
              <a16:creationId xmlns:a16="http://schemas.microsoft.com/office/drawing/2014/main" id="{00000000-0008-0000-0100-0000B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8" name="연결선: 꺾임 177">
          <a:extLst>
            <a:ext uri="{FF2B5EF4-FFF2-40B4-BE49-F238E27FC236}">
              <a16:creationId xmlns:a16="http://schemas.microsoft.com/office/drawing/2014/main" id="{00000000-0008-0000-0100-0000B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 name="연결선: 꺾임 178">
          <a:extLst>
            <a:ext uri="{FF2B5EF4-FFF2-40B4-BE49-F238E27FC236}">
              <a16:creationId xmlns:a16="http://schemas.microsoft.com/office/drawing/2014/main" id="{00000000-0008-0000-0100-0000B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 name="연결선: 꺾임 179">
          <a:extLst>
            <a:ext uri="{FF2B5EF4-FFF2-40B4-BE49-F238E27FC236}">
              <a16:creationId xmlns:a16="http://schemas.microsoft.com/office/drawing/2014/main" id="{00000000-0008-0000-0100-0000B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 name="연결선: 꺾임 180">
          <a:extLst>
            <a:ext uri="{FF2B5EF4-FFF2-40B4-BE49-F238E27FC236}">
              <a16:creationId xmlns:a16="http://schemas.microsoft.com/office/drawing/2014/main" id="{00000000-0008-0000-0100-0000B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 name="연결선: 꺾임 181">
          <a:extLst>
            <a:ext uri="{FF2B5EF4-FFF2-40B4-BE49-F238E27FC236}">
              <a16:creationId xmlns:a16="http://schemas.microsoft.com/office/drawing/2014/main" id="{00000000-0008-0000-0100-0000B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 name="연결선: 꺾임 182">
          <a:extLst>
            <a:ext uri="{FF2B5EF4-FFF2-40B4-BE49-F238E27FC236}">
              <a16:creationId xmlns:a16="http://schemas.microsoft.com/office/drawing/2014/main" id="{00000000-0008-0000-0100-0000B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 name="연결선: 꺾임 183">
          <a:extLst>
            <a:ext uri="{FF2B5EF4-FFF2-40B4-BE49-F238E27FC236}">
              <a16:creationId xmlns:a16="http://schemas.microsoft.com/office/drawing/2014/main" id="{00000000-0008-0000-0100-0000B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 name="연결선: 꺾임 184">
          <a:extLst>
            <a:ext uri="{FF2B5EF4-FFF2-40B4-BE49-F238E27FC236}">
              <a16:creationId xmlns:a16="http://schemas.microsoft.com/office/drawing/2014/main" id="{00000000-0008-0000-0100-0000B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6" name="연결선: 꺾임 185">
          <a:extLst>
            <a:ext uri="{FF2B5EF4-FFF2-40B4-BE49-F238E27FC236}">
              <a16:creationId xmlns:a16="http://schemas.microsoft.com/office/drawing/2014/main" id="{00000000-0008-0000-0100-0000B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7" name="연결선: 꺾임 186">
          <a:extLst>
            <a:ext uri="{FF2B5EF4-FFF2-40B4-BE49-F238E27FC236}">
              <a16:creationId xmlns:a16="http://schemas.microsoft.com/office/drawing/2014/main" id="{00000000-0008-0000-0100-0000B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8" name="연결선: 꺾임 187">
          <a:extLst>
            <a:ext uri="{FF2B5EF4-FFF2-40B4-BE49-F238E27FC236}">
              <a16:creationId xmlns:a16="http://schemas.microsoft.com/office/drawing/2014/main" id="{00000000-0008-0000-0100-0000B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9" name="연결선: 꺾임 188">
          <a:extLst>
            <a:ext uri="{FF2B5EF4-FFF2-40B4-BE49-F238E27FC236}">
              <a16:creationId xmlns:a16="http://schemas.microsoft.com/office/drawing/2014/main" id="{00000000-0008-0000-0100-0000B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0" name="연결선: 꺾임 189">
          <a:extLst>
            <a:ext uri="{FF2B5EF4-FFF2-40B4-BE49-F238E27FC236}">
              <a16:creationId xmlns:a16="http://schemas.microsoft.com/office/drawing/2014/main" id="{00000000-0008-0000-0100-0000B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1" name="연결선: 꺾임 190">
          <a:extLst>
            <a:ext uri="{FF2B5EF4-FFF2-40B4-BE49-F238E27FC236}">
              <a16:creationId xmlns:a16="http://schemas.microsoft.com/office/drawing/2014/main" id="{00000000-0008-0000-0100-0000B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2" name="연결선: 꺾임 191">
          <a:extLst>
            <a:ext uri="{FF2B5EF4-FFF2-40B4-BE49-F238E27FC236}">
              <a16:creationId xmlns:a16="http://schemas.microsoft.com/office/drawing/2014/main" id="{00000000-0008-0000-0100-0000C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3" name="연결선: 꺾임 192">
          <a:extLst>
            <a:ext uri="{FF2B5EF4-FFF2-40B4-BE49-F238E27FC236}">
              <a16:creationId xmlns:a16="http://schemas.microsoft.com/office/drawing/2014/main" id="{00000000-0008-0000-0100-0000C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4" name="연결선: 꺾임 193">
          <a:extLst>
            <a:ext uri="{FF2B5EF4-FFF2-40B4-BE49-F238E27FC236}">
              <a16:creationId xmlns:a16="http://schemas.microsoft.com/office/drawing/2014/main" id="{00000000-0008-0000-0100-0000C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5" name="연결선: 꺾임 194">
          <a:extLst>
            <a:ext uri="{FF2B5EF4-FFF2-40B4-BE49-F238E27FC236}">
              <a16:creationId xmlns:a16="http://schemas.microsoft.com/office/drawing/2014/main" id="{00000000-0008-0000-0100-0000C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6" name="연결선: 꺾임 195">
          <a:extLst>
            <a:ext uri="{FF2B5EF4-FFF2-40B4-BE49-F238E27FC236}">
              <a16:creationId xmlns:a16="http://schemas.microsoft.com/office/drawing/2014/main" id="{00000000-0008-0000-0100-0000C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7" name="연결선: 꺾임 196">
          <a:extLst>
            <a:ext uri="{FF2B5EF4-FFF2-40B4-BE49-F238E27FC236}">
              <a16:creationId xmlns:a16="http://schemas.microsoft.com/office/drawing/2014/main" id="{00000000-0008-0000-0100-0000C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8" name="연결선: 꺾임 197">
          <a:extLst>
            <a:ext uri="{FF2B5EF4-FFF2-40B4-BE49-F238E27FC236}">
              <a16:creationId xmlns:a16="http://schemas.microsoft.com/office/drawing/2014/main" id="{00000000-0008-0000-0100-0000C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9" name="연결선: 꺾임 198">
          <a:extLst>
            <a:ext uri="{FF2B5EF4-FFF2-40B4-BE49-F238E27FC236}">
              <a16:creationId xmlns:a16="http://schemas.microsoft.com/office/drawing/2014/main" id="{00000000-0008-0000-0100-0000C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0" name="연결선: 꺾임 199">
          <a:extLst>
            <a:ext uri="{FF2B5EF4-FFF2-40B4-BE49-F238E27FC236}">
              <a16:creationId xmlns:a16="http://schemas.microsoft.com/office/drawing/2014/main" id="{00000000-0008-0000-0100-0000C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1" name="연결선: 꺾임 200">
          <a:extLst>
            <a:ext uri="{FF2B5EF4-FFF2-40B4-BE49-F238E27FC236}">
              <a16:creationId xmlns:a16="http://schemas.microsoft.com/office/drawing/2014/main" id="{00000000-0008-0000-0100-0000C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2" name="연결선: 꺾임 201">
          <a:extLst>
            <a:ext uri="{FF2B5EF4-FFF2-40B4-BE49-F238E27FC236}">
              <a16:creationId xmlns:a16="http://schemas.microsoft.com/office/drawing/2014/main" id="{00000000-0008-0000-0100-0000C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3" name="연결선: 꺾임 202">
          <a:extLst>
            <a:ext uri="{FF2B5EF4-FFF2-40B4-BE49-F238E27FC236}">
              <a16:creationId xmlns:a16="http://schemas.microsoft.com/office/drawing/2014/main" id="{00000000-0008-0000-0100-0000C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4" name="연결선: 꺾임 203">
          <a:extLst>
            <a:ext uri="{FF2B5EF4-FFF2-40B4-BE49-F238E27FC236}">
              <a16:creationId xmlns:a16="http://schemas.microsoft.com/office/drawing/2014/main" id="{00000000-0008-0000-0100-0000C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5" name="연결선: 꺾임 204">
          <a:extLst>
            <a:ext uri="{FF2B5EF4-FFF2-40B4-BE49-F238E27FC236}">
              <a16:creationId xmlns:a16="http://schemas.microsoft.com/office/drawing/2014/main" id="{00000000-0008-0000-0100-0000C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6" name="연결선: 꺾임 205">
          <a:extLst>
            <a:ext uri="{FF2B5EF4-FFF2-40B4-BE49-F238E27FC236}">
              <a16:creationId xmlns:a16="http://schemas.microsoft.com/office/drawing/2014/main" id="{00000000-0008-0000-0100-0000C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7" name="연결선: 꺾임 206">
          <a:extLst>
            <a:ext uri="{FF2B5EF4-FFF2-40B4-BE49-F238E27FC236}">
              <a16:creationId xmlns:a16="http://schemas.microsoft.com/office/drawing/2014/main" id="{00000000-0008-0000-0100-0000C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8" name="연결선: 꺾임 207">
          <a:extLst>
            <a:ext uri="{FF2B5EF4-FFF2-40B4-BE49-F238E27FC236}">
              <a16:creationId xmlns:a16="http://schemas.microsoft.com/office/drawing/2014/main" id="{00000000-0008-0000-0100-0000D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9" name="연결선: 꺾임 208">
          <a:extLst>
            <a:ext uri="{FF2B5EF4-FFF2-40B4-BE49-F238E27FC236}">
              <a16:creationId xmlns:a16="http://schemas.microsoft.com/office/drawing/2014/main" id="{00000000-0008-0000-0100-0000D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0" name="연결선: 꺾임 209">
          <a:extLst>
            <a:ext uri="{FF2B5EF4-FFF2-40B4-BE49-F238E27FC236}">
              <a16:creationId xmlns:a16="http://schemas.microsoft.com/office/drawing/2014/main" id="{00000000-0008-0000-0100-0000D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1" name="연결선: 꺾임 210">
          <a:extLst>
            <a:ext uri="{FF2B5EF4-FFF2-40B4-BE49-F238E27FC236}">
              <a16:creationId xmlns:a16="http://schemas.microsoft.com/office/drawing/2014/main" id="{00000000-0008-0000-0100-0000D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2" name="연결선: 꺾임 211">
          <a:extLst>
            <a:ext uri="{FF2B5EF4-FFF2-40B4-BE49-F238E27FC236}">
              <a16:creationId xmlns:a16="http://schemas.microsoft.com/office/drawing/2014/main" id="{00000000-0008-0000-0100-0000D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3" name="연결선: 꺾임 212">
          <a:extLst>
            <a:ext uri="{FF2B5EF4-FFF2-40B4-BE49-F238E27FC236}">
              <a16:creationId xmlns:a16="http://schemas.microsoft.com/office/drawing/2014/main" id="{00000000-0008-0000-0100-0000D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4" name="연결선: 꺾임 213">
          <a:extLst>
            <a:ext uri="{FF2B5EF4-FFF2-40B4-BE49-F238E27FC236}">
              <a16:creationId xmlns:a16="http://schemas.microsoft.com/office/drawing/2014/main" id="{00000000-0008-0000-0100-0000D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5" name="연결선: 꺾임 214">
          <a:extLst>
            <a:ext uri="{FF2B5EF4-FFF2-40B4-BE49-F238E27FC236}">
              <a16:creationId xmlns:a16="http://schemas.microsoft.com/office/drawing/2014/main" id="{00000000-0008-0000-0100-0000D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6" name="연결선: 꺾임 215">
          <a:extLst>
            <a:ext uri="{FF2B5EF4-FFF2-40B4-BE49-F238E27FC236}">
              <a16:creationId xmlns:a16="http://schemas.microsoft.com/office/drawing/2014/main" id="{00000000-0008-0000-0100-0000D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7" name="연결선: 꺾임 216">
          <a:extLst>
            <a:ext uri="{FF2B5EF4-FFF2-40B4-BE49-F238E27FC236}">
              <a16:creationId xmlns:a16="http://schemas.microsoft.com/office/drawing/2014/main" id="{00000000-0008-0000-0100-0000D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8" name="연결선: 꺾임 217">
          <a:extLst>
            <a:ext uri="{FF2B5EF4-FFF2-40B4-BE49-F238E27FC236}">
              <a16:creationId xmlns:a16="http://schemas.microsoft.com/office/drawing/2014/main" id="{00000000-0008-0000-0100-0000D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9" name="연결선: 꺾임 218">
          <a:extLst>
            <a:ext uri="{FF2B5EF4-FFF2-40B4-BE49-F238E27FC236}">
              <a16:creationId xmlns:a16="http://schemas.microsoft.com/office/drawing/2014/main" id="{00000000-0008-0000-0100-0000D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0" name="연결선: 꺾임 219">
          <a:extLst>
            <a:ext uri="{FF2B5EF4-FFF2-40B4-BE49-F238E27FC236}">
              <a16:creationId xmlns:a16="http://schemas.microsoft.com/office/drawing/2014/main" id="{00000000-0008-0000-0100-0000D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1" name="연결선: 꺾임 220">
          <a:extLst>
            <a:ext uri="{FF2B5EF4-FFF2-40B4-BE49-F238E27FC236}">
              <a16:creationId xmlns:a16="http://schemas.microsoft.com/office/drawing/2014/main" id="{00000000-0008-0000-0100-0000D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2" name="연결선: 꺾임 221">
          <a:extLst>
            <a:ext uri="{FF2B5EF4-FFF2-40B4-BE49-F238E27FC236}">
              <a16:creationId xmlns:a16="http://schemas.microsoft.com/office/drawing/2014/main" id="{00000000-0008-0000-0100-0000D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3" name="연결선: 꺾임 222">
          <a:extLst>
            <a:ext uri="{FF2B5EF4-FFF2-40B4-BE49-F238E27FC236}">
              <a16:creationId xmlns:a16="http://schemas.microsoft.com/office/drawing/2014/main" id="{00000000-0008-0000-0100-0000D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4" name="연결선: 꺾임 223">
          <a:extLst>
            <a:ext uri="{FF2B5EF4-FFF2-40B4-BE49-F238E27FC236}">
              <a16:creationId xmlns:a16="http://schemas.microsoft.com/office/drawing/2014/main" id="{00000000-0008-0000-0100-0000E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5" name="연결선: 꺾임 224">
          <a:extLst>
            <a:ext uri="{FF2B5EF4-FFF2-40B4-BE49-F238E27FC236}">
              <a16:creationId xmlns:a16="http://schemas.microsoft.com/office/drawing/2014/main" id="{00000000-0008-0000-0100-0000E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6" name="연결선: 꺾임 225">
          <a:extLst>
            <a:ext uri="{FF2B5EF4-FFF2-40B4-BE49-F238E27FC236}">
              <a16:creationId xmlns:a16="http://schemas.microsoft.com/office/drawing/2014/main" id="{00000000-0008-0000-0100-0000E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7" name="연결선: 꺾임 226">
          <a:extLst>
            <a:ext uri="{FF2B5EF4-FFF2-40B4-BE49-F238E27FC236}">
              <a16:creationId xmlns:a16="http://schemas.microsoft.com/office/drawing/2014/main" id="{00000000-0008-0000-0100-0000E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8" name="연결선: 꺾임 227">
          <a:extLst>
            <a:ext uri="{FF2B5EF4-FFF2-40B4-BE49-F238E27FC236}">
              <a16:creationId xmlns:a16="http://schemas.microsoft.com/office/drawing/2014/main" id="{00000000-0008-0000-0100-0000E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9" name="연결선: 꺾임 228">
          <a:extLst>
            <a:ext uri="{FF2B5EF4-FFF2-40B4-BE49-F238E27FC236}">
              <a16:creationId xmlns:a16="http://schemas.microsoft.com/office/drawing/2014/main" id="{00000000-0008-0000-0100-0000E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 name="연결선: 꺾임 229">
          <a:extLst>
            <a:ext uri="{FF2B5EF4-FFF2-40B4-BE49-F238E27FC236}">
              <a16:creationId xmlns:a16="http://schemas.microsoft.com/office/drawing/2014/main" id="{00000000-0008-0000-0100-0000E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1" name="연결선: 꺾임 230">
          <a:extLst>
            <a:ext uri="{FF2B5EF4-FFF2-40B4-BE49-F238E27FC236}">
              <a16:creationId xmlns:a16="http://schemas.microsoft.com/office/drawing/2014/main" id="{00000000-0008-0000-0100-0000E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2" name="연결선: 꺾임 231">
          <a:extLst>
            <a:ext uri="{FF2B5EF4-FFF2-40B4-BE49-F238E27FC236}">
              <a16:creationId xmlns:a16="http://schemas.microsoft.com/office/drawing/2014/main" id="{00000000-0008-0000-0100-0000E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3" name="연결선: 꺾임 232">
          <a:extLst>
            <a:ext uri="{FF2B5EF4-FFF2-40B4-BE49-F238E27FC236}">
              <a16:creationId xmlns:a16="http://schemas.microsoft.com/office/drawing/2014/main" id="{00000000-0008-0000-0100-0000E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4" name="연결선: 꺾임 233">
          <a:extLst>
            <a:ext uri="{FF2B5EF4-FFF2-40B4-BE49-F238E27FC236}">
              <a16:creationId xmlns:a16="http://schemas.microsoft.com/office/drawing/2014/main" id="{00000000-0008-0000-0100-0000E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5" name="연결선: 꺾임 234">
          <a:extLst>
            <a:ext uri="{FF2B5EF4-FFF2-40B4-BE49-F238E27FC236}">
              <a16:creationId xmlns:a16="http://schemas.microsoft.com/office/drawing/2014/main" id="{00000000-0008-0000-0100-0000E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6" name="연결선: 꺾임 235">
          <a:extLst>
            <a:ext uri="{FF2B5EF4-FFF2-40B4-BE49-F238E27FC236}">
              <a16:creationId xmlns:a16="http://schemas.microsoft.com/office/drawing/2014/main" id="{00000000-0008-0000-0100-0000E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7" name="연결선: 꺾임 236">
          <a:extLst>
            <a:ext uri="{FF2B5EF4-FFF2-40B4-BE49-F238E27FC236}">
              <a16:creationId xmlns:a16="http://schemas.microsoft.com/office/drawing/2014/main" id="{00000000-0008-0000-0100-0000E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8" name="연결선: 꺾임 237">
          <a:extLst>
            <a:ext uri="{FF2B5EF4-FFF2-40B4-BE49-F238E27FC236}">
              <a16:creationId xmlns:a16="http://schemas.microsoft.com/office/drawing/2014/main" id="{00000000-0008-0000-0100-0000E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9" name="연결선: 꺾임 238">
          <a:extLst>
            <a:ext uri="{FF2B5EF4-FFF2-40B4-BE49-F238E27FC236}">
              <a16:creationId xmlns:a16="http://schemas.microsoft.com/office/drawing/2014/main" id="{00000000-0008-0000-0100-0000E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0" name="연결선: 꺾임 239">
          <a:extLst>
            <a:ext uri="{FF2B5EF4-FFF2-40B4-BE49-F238E27FC236}">
              <a16:creationId xmlns:a16="http://schemas.microsoft.com/office/drawing/2014/main" id="{00000000-0008-0000-0100-0000F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1" name="연결선: 꺾임 240">
          <a:extLst>
            <a:ext uri="{FF2B5EF4-FFF2-40B4-BE49-F238E27FC236}">
              <a16:creationId xmlns:a16="http://schemas.microsoft.com/office/drawing/2014/main" id="{00000000-0008-0000-0100-0000F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2" name="연결선: 꺾임 241">
          <a:extLst>
            <a:ext uri="{FF2B5EF4-FFF2-40B4-BE49-F238E27FC236}">
              <a16:creationId xmlns:a16="http://schemas.microsoft.com/office/drawing/2014/main" id="{00000000-0008-0000-0100-0000F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 name="연결선: 꺾임 242">
          <a:extLst>
            <a:ext uri="{FF2B5EF4-FFF2-40B4-BE49-F238E27FC236}">
              <a16:creationId xmlns:a16="http://schemas.microsoft.com/office/drawing/2014/main" id="{00000000-0008-0000-0100-0000F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 name="연결선: 꺾임 243">
          <a:extLst>
            <a:ext uri="{FF2B5EF4-FFF2-40B4-BE49-F238E27FC236}">
              <a16:creationId xmlns:a16="http://schemas.microsoft.com/office/drawing/2014/main" id="{00000000-0008-0000-0100-0000F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 name="연결선: 꺾임 244">
          <a:extLst>
            <a:ext uri="{FF2B5EF4-FFF2-40B4-BE49-F238E27FC236}">
              <a16:creationId xmlns:a16="http://schemas.microsoft.com/office/drawing/2014/main" id="{00000000-0008-0000-0100-0000F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 name="연결선: 꺾임 245">
          <a:extLst>
            <a:ext uri="{FF2B5EF4-FFF2-40B4-BE49-F238E27FC236}">
              <a16:creationId xmlns:a16="http://schemas.microsoft.com/office/drawing/2014/main" id="{00000000-0008-0000-0100-0000F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 name="연결선: 꺾임 246">
          <a:extLst>
            <a:ext uri="{FF2B5EF4-FFF2-40B4-BE49-F238E27FC236}">
              <a16:creationId xmlns:a16="http://schemas.microsoft.com/office/drawing/2014/main" id="{00000000-0008-0000-0100-0000F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 name="연결선: 꺾임 247">
          <a:extLst>
            <a:ext uri="{FF2B5EF4-FFF2-40B4-BE49-F238E27FC236}">
              <a16:creationId xmlns:a16="http://schemas.microsoft.com/office/drawing/2014/main" id="{00000000-0008-0000-0100-0000F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9" name="연결선: 꺾임 248">
          <a:extLst>
            <a:ext uri="{FF2B5EF4-FFF2-40B4-BE49-F238E27FC236}">
              <a16:creationId xmlns:a16="http://schemas.microsoft.com/office/drawing/2014/main" id="{00000000-0008-0000-0100-0000F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0" name="연결선: 꺾임 249">
          <a:extLst>
            <a:ext uri="{FF2B5EF4-FFF2-40B4-BE49-F238E27FC236}">
              <a16:creationId xmlns:a16="http://schemas.microsoft.com/office/drawing/2014/main" id="{00000000-0008-0000-0100-0000F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1" name="연결선: 꺾임 250">
          <a:extLst>
            <a:ext uri="{FF2B5EF4-FFF2-40B4-BE49-F238E27FC236}">
              <a16:creationId xmlns:a16="http://schemas.microsoft.com/office/drawing/2014/main" id="{00000000-0008-0000-0100-0000F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2" name="연결선: 꺾임 251">
          <a:extLst>
            <a:ext uri="{FF2B5EF4-FFF2-40B4-BE49-F238E27FC236}">
              <a16:creationId xmlns:a16="http://schemas.microsoft.com/office/drawing/2014/main" id="{00000000-0008-0000-0100-0000FC00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3" name="연결선: 꺾임 252">
          <a:extLst>
            <a:ext uri="{FF2B5EF4-FFF2-40B4-BE49-F238E27FC236}">
              <a16:creationId xmlns:a16="http://schemas.microsoft.com/office/drawing/2014/main" id="{00000000-0008-0000-0100-0000FD00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4" name="연결선: 꺾임 253">
          <a:extLst>
            <a:ext uri="{FF2B5EF4-FFF2-40B4-BE49-F238E27FC236}">
              <a16:creationId xmlns:a16="http://schemas.microsoft.com/office/drawing/2014/main" id="{00000000-0008-0000-0100-0000FE00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5" name="연결선: 꺾임 254">
          <a:extLst>
            <a:ext uri="{FF2B5EF4-FFF2-40B4-BE49-F238E27FC236}">
              <a16:creationId xmlns:a16="http://schemas.microsoft.com/office/drawing/2014/main" id="{00000000-0008-0000-0100-0000FF00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6" name="연결선: 꺾임 255">
          <a:extLst>
            <a:ext uri="{FF2B5EF4-FFF2-40B4-BE49-F238E27FC236}">
              <a16:creationId xmlns:a16="http://schemas.microsoft.com/office/drawing/2014/main" id="{00000000-0008-0000-0100-000000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7" name="연결선: 꺾임 256">
          <a:extLst>
            <a:ext uri="{FF2B5EF4-FFF2-40B4-BE49-F238E27FC236}">
              <a16:creationId xmlns:a16="http://schemas.microsoft.com/office/drawing/2014/main" id="{00000000-0008-0000-0100-000001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8" name="연결선: 꺾임 257">
          <a:extLst>
            <a:ext uri="{FF2B5EF4-FFF2-40B4-BE49-F238E27FC236}">
              <a16:creationId xmlns:a16="http://schemas.microsoft.com/office/drawing/2014/main" id="{00000000-0008-0000-0100-000002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9" name="연결선: 꺾임 258">
          <a:extLst>
            <a:ext uri="{FF2B5EF4-FFF2-40B4-BE49-F238E27FC236}">
              <a16:creationId xmlns:a16="http://schemas.microsoft.com/office/drawing/2014/main" id="{00000000-0008-0000-0100-000003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0" name="연결선: 꺾임 259">
          <a:extLst>
            <a:ext uri="{FF2B5EF4-FFF2-40B4-BE49-F238E27FC236}">
              <a16:creationId xmlns:a16="http://schemas.microsoft.com/office/drawing/2014/main" id="{00000000-0008-0000-0100-000004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1" name="연결선: 꺾임 260">
          <a:extLst>
            <a:ext uri="{FF2B5EF4-FFF2-40B4-BE49-F238E27FC236}">
              <a16:creationId xmlns:a16="http://schemas.microsoft.com/office/drawing/2014/main" id="{00000000-0008-0000-0100-000005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2" name="연결선: 꺾임 261">
          <a:extLst>
            <a:ext uri="{FF2B5EF4-FFF2-40B4-BE49-F238E27FC236}">
              <a16:creationId xmlns:a16="http://schemas.microsoft.com/office/drawing/2014/main" id="{00000000-0008-0000-0100-000006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3" name="연결선: 꺾임 262">
          <a:extLst>
            <a:ext uri="{FF2B5EF4-FFF2-40B4-BE49-F238E27FC236}">
              <a16:creationId xmlns:a16="http://schemas.microsoft.com/office/drawing/2014/main" id="{00000000-0008-0000-0100-000007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4" name="연결선: 꺾임 263">
          <a:extLst>
            <a:ext uri="{FF2B5EF4-FFF2-40B4-BE49-F238E27FC236}">
              <a16:creationId xmlns:a16="http://schemas.microsoft.com/office/drawing/2014/main" id="{00000000-0008-0000-0100-00000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5" name="연결선: 꺾임 264">
          <a:extLst>
            <a:ext uri="{FF2B5EF4-FFF2-40B4-BE49-F238E27FC236}">
              <a16:creationId xmlns:a16="http://schemas.microsoft.com/office/drawing/2014/main" id="{00000000-0008-0000-0100-00000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6" name="연결선: 꺾임 265">
          <a:extLst>
            <a:ext uri="{FF2B5EF4-FFF2-40B4-BE49-F238E27FC236}">
              <a16:creationId xmlns:a16="http://schemas.microsoft.com/office/drawing/2014/main" id="{00000000-0008-0000-0100-00000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7" name="연결선: 꺾임 266">
          <a:extLst>
            <a:ext uri="{FF2B5EF4-FFF2-40B4-BE49-F238E27FC236}">
              <a16:creationId xmlns:a16="http://schemas.microsoft.com/office/drawing/2014/main" id="{00000000-0008-0000-0100-00000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8" name="연결선: 꺾임 267">
          <a:extLst>
            <a:ext uri="{FF2B5EF4-FFF2-40B4-BE49-F238E27FC236}">
              <a16:creationId xmlns:a16="http://schemas.microsoft.com/office/drawing/2014/main" id="{00000000-0008-0000-0100-00000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9" name="연결선: 꺾임 268">
          <a:extLst>
            <a:ext uri="{FF2B5EF4-FFF2-40B4-BE49-F238E27FC236}">
              <a16:creationId xmlns:a16="http://schemas.microsoft.com/office/drawing/2014/main" id="{00000000-0008-0000-0100-00000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0" name="연결선: 꺾임 269">
          <a:extLst>
            <a:ext uri="{FF2B5EF4-FFF2-40B4-BE49-F238E27FC236}">
              <a16:creationId xmlns:a16="http://schemas.microsoft.com/office/drawing/2014/main" id="{00000000-0008-0000-0100-00000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1" name="연결선: 꺾임 270">
          <a:extLst>
            <a:ext uri="{FF2B5EF4-FFF2-40B4-BE49-F238E27FC236}">
              <a16:creationId xmlns:a16="http://schemas.microsoft.com/office/drawing/2014/main" id="{00000000-0008-0000-0100-00000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2" name="연결선: 꺾임 271">
          <a:extLst>
            <a:ext uri="{FF2B5EF4-FFF2-40B4-BE49-F238E27FC236}">
              <a16:creationId xmlns:a16="http://schemas.microsoft.com/office/drawing/2014/main" id="{00000000-0008-0000-0100-00001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3" name="연결선: 꺾임 272">
          <a:extLst>
            <a:ext uri="{FF2B5EF4-FFF2-40B4-BE49-F238E27FC236}">
              <a16:creationId xmlns:a16="http://schemas.microsoft.com/office/drawing/2014/main" id="{00000000-0008-0000-0100-00001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4" name="연결선: 꺾임 273">
          <a:extLst>
            <a:ext uri="{FF2B5EF4-FFF2-40B4-BE49-F238E27FC236}">
              <a16:creationId xmlns:a16="http://schemas.microsoft.com/office/drawing/2014/main" id="{00000000-0008-0000-0100-00001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5" name="연결선: 꺾임 274">
          <a:extLst>
            <a:ext uri="{FF2B5EF4-FFF2-40B4-BE49-F238E27FC236}">
              <a16:creationId xmlns:a16="http://schemas.microsoft.com/office/drawing/2014/main" id="{00000000-0008-0000-0100-00001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6" name="연결선: 꺾임 275">
          <a:extLst>
            <a:ext uri="{FF2B5EF4-FFF2-40B4-BE49-F238E27FC236}">
              <a16:creationId xmlns:a16="http://schemas.microsoft.com/office/drawing/2014/main" id="{00000000-0008-0000-0100-00001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7" name="연결선: 꺾임 276">
          <a:extLst>
            <a:ext uri="{FF2B5EF4-FFF2-40B4-BE49-F238E27FC236}">
              <a16:creationId xmlns:a16="http://schemas.microsoft.com/office/drawing/2014/main" id="{00000000-0008-0000-0100-00001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8" name="연결선: 꺾임 277">
          <a:extLst>
            <a:ext uri="{FF2B5EF4-FFF2-40B4-BE49-F238E27FC236}">
              <a16:creationId xmlns:a16="http://schemas.microsoft.com/office/drawing/2014/main" id="{00000000-0008-0000-0100-00001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9" name="연결선: 꺾임 278">
          <a:extLst>
            <a:ext uri="{FF2B5EF4-FFF2-40B4-BE49-F238E27FC236}">
              <a16:creationId xmlns:a16="http://schemas.microsoft.com/office/drawing/2014/main" id="{00000000-0008-0000-0100-00001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0" name="연결선: 꺾임 279">
          <a:extLst>
            <a:ext uri="{FF2B5EF4-FFF2-40B4-BE49-F238E27FC236}">
              <a16:creationId xmlns:a16="http://schemas.microsoft.com/office/drawing/2014/main" id="{00000000-0008-0000-0100-00001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1" name="연결선: 꺾임 280">
          <a:extLst>
            <a:ext uri="{FF2B5EF4-FFF2-40B4-BE49-F238E27FC236}">
              <a16:creationId xmlns:a16="http://schemas.microsoft.com/office/drawing/2014/main" id="{00000000-0008-0000-0100-00001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2" name="연결선: 꺾임 281">
          <a:extLst>
            <a:ext uri="{FF2B5EF4-FFF2-40B4-BE49-F238E27FC236}">
              <a16:creationId xmlns:a16="http://schemas.microsoft.com/office/drawing/2014/main" id="{00000000-0008-0000-0100-00001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3" name="연결선: 꺾임 282">
          <a:extLst>
            <a:ext uri="{FF2B5EF4-FFF2-40B4-BE49-F238E27FC236}">
              <a16:creationId xmlns:a16="http://schemas.microsoft.com/office/drawing/2014/main" id="{00000000-0008-0000-0100-00001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4" name="연결선: 꺾임 283">
          <a:extLst>
            <a:ext uri="{FF2B5EF4-FFF2-40B4-BE49-F238E27FC236}">
              <a16:creationId xmlns:a16="http://schemas.microsoft.com/office/drawing/2014/main" id="{00000000-0008-0000-0100-00001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5" name="연결선: 꺾임 284">
          <a:extLst>
            <a:ext uri="{FF2B5EF4-FFF2-40B4-BE49-F238E27FC236}">
              <a16:creationId xmlns:a16="http://schemas.microsoft.com/office/drawing/2014/main" id="{00000000-0008-0000-0100-00001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6" name="연결선: 꺾임 285">
          <a:extLst>
            <a:ext uri="{FF2B5EF4-FFF2-40B4-BE49-F238E27FC236}">
              <a16:creationId xmlns:a16="http://schemas.microsoft.com/office/drawing/2014/main" id="{00000000-0008-0000-0100-00001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7" name="연결선: 꺾임 286">
          <a:extLst>
            <a:ext uri="{FF2B5EF4-FFF2-40B4-BE49-F238E27FC236}">
              <a16:creationId xmlns:a16="http://schemas.microsoft.com/office/drawing/2014/main" id="{00000000-0008-0000-0100-00001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8" name="연결선: 꺾임 287">
          <a:extLst>
            <a:ext uri="{FF2B5EF4-FFF2-40B4-BE49-F238E27FC236}">
              <a16:creationId xmlns:a16="http://schemas.microsoft.com/office/drawing/2014/main" id="{00000000-0008-0000-0100-00002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9" name="연결선: 꺾임 288">
          <a:extLst>
            <a:ext uri="{FF2B5EF4-FFF2-40B4-BE49-F238E27FC236}">
              <a16:creationId xmlns:a16="http://schemas.microsoft.com/office/drawing/2014/main" id="{00000000-0008-0000-0100-00002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0" name="연결선: 꺾임 289">
          <a:extLst>
            <a:ext uri="{FF2B5EF4-FFF2-40B4-BE49-F238E27FC236}">
              <a16:creationId xmlns:a16="http://schemas.microsoft.com/office/drawing/2014/main" id="{00000000-0008-0000-0100-00002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1" name="연결선: 꺾임 290">
          <a:extLst>
            <a:ext uri="{FF2B5EF4-FFF2-40B4-BE49-F238E27FC236}">
              <a16:creationId xmlns:a16="http://schemas.microsoft.com/office/drawing/2014/main" id="{00000000-0008-0000-0100-00002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2" name="연결선: 꺾임 291">
          <a:extLst>
            <a:ext uri="{FF2B5EF4-FFF2-40B4-BE49-F238E27FC236}">
              <a16:creationId xmlns:a16="http://schemas.microsoft.com/office/drawing/2014/main" id="{00000000-0008-0000-0100-00002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3" name="연결선: 꺾임 292">
          <a:extLst>
            <a:ext uri="{FF2B5EF4-FFF2-40B4-BE49-F238E27FC236}">
              <a16:creationId xmlns:a16="http://schemas.microsoft.com/office/drawing/2014/main" id="{00000000-0008-0000-0100-00002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4" name="연결선: 꺾임 293">
          <a:extLst>
            <a:ext uri="{FF2B5EF4-FFF2-40B4-BE49-F238E27FC236}">
              <a16:creationId xmlns:a16="http://schemas.microsoft.com/office/drawing/2014/main" id="{00000000-0008-0000-0100-00002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5" name="연결선: 꺾임 294">
          <a:extLst>
            <a:ext uri="{FF2B5EF4-FFF2-40B4-BE49-F238E27FC236}">
              <a16:creationId xmlns:a16="http://schemas.microsoft.com/office/drawing/2014/main" id="{00000000-0008-0000-0100-00002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6" name="연결선: 꺾임 295">
          <a:extLst>
            <a:ext uri="{FF2B5EF4-FFF2-40B4-BE49-F238E27FC236}">
              <a16:creationId xmlns:a16="http://schemas.microsoft.com/office/drawing/2014/main" id="{00000000-0008-0000-0100-00002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7" name="연결선: 꺾임 296">
          <a:extLst>
            <a:ext uri="{FF2B5EF4-FFF2-40B4-BE49-F238E27FC236}">
              <a16:creationId xmlns:a16="http://schemas.microsoft.com/office/drawing/2014/main" id="{00000000-0008-0000-0100-00002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8" name="연결선: 꺾임 297">
          <a:extLst>
            <a:ext uri="{FF2B5EF4-FFF2-40B4-BE49-F238E27FC236}">
              <a16:creationId xmlns:a16="http://schemas.microsoft.com/office/drawing/2014/main" id="{00000000-0008-0000-0100-00002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9" name="연결선: 꺾임 298">
          <a:extLst>
            <a:ext uri="{FF2B5EF4-FFF2-40B4-BE49-F238E27FC236}">
              <a16:creationId xmlns:a16="http://schemas.microsoft.com/office/drawing/2014/main" id="{00000000-0008-0000-0100-00002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0" name="연결선: 꺾임 299">
          <a:extLst>
            <a:ext uri="{FF2B5EF4-FFF2-40B4-BE49-F238E27FC236}">
              <a16:creationId xmlns:a16="http://schemas.microsoft.com/office/drawing/2014/main" id="{00000000-0008-0000-0100-00002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1" name="연결선: 꺾임 300">
          <a:extLst>
            <a:ext uri="{FF2B5EF4-FFF2-40B4-BE49-F238E27FC236}">
              <a16:creationId xmlns:a16="http://schemas.microsoft.com/office/drawing/2014/main" id="{00000000-0008-0000-0100-00002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2" name="연결선: 꺾임 301">
          <a:extLst>
            <a:ext uri="{FF2B5EF4-FFF2-40B4-BE49-F238E27FC236}">
              <a16:creationId xmlns:a16="http://schemas.microsoft.com/office/drawing/2014/main" id="{00000000-0008-0000-0100-00002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3" name="연결선: 꺾임 302">
          <a:extLst>
            <a:ext uri="{FF2B5EF4-FFF2-40B4-BE49-F238E27FC236}">
              <a16:creationId xmlns:a16="http://schemas.microsoft.com/office/drawing/2014/main" id="{00000000-0008-0000-0100-00002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4" name="연결선: 꺾임 303">
          <a:extLst>
            <a:ext uri="{FF2B5EF4-FFF2-40B4-BE49-F238E27FC236}">
              <a16:creationId xmlns:a16="http://schemas.microsoft.com/office/drawing/2014/main" id="{00000000-0008-0000-0100-00003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5" name="연결선: 꺾임 304">
          <a:extLst>
            <a:ext uri="{FF2B5EF4-FFF2-40B4-BE49-F238E27FC236}">
              <a16:creationId xmlns:a16="http://schemas.microsoft.com/office/drawing/2014/main" id="{00000000-0008-0000-0100-00003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6" name="연결선: 꺾임 305">
          <a:extLst>
            <a:ext uri="{FF2B5EF4-FFF2-40B4-BE49-F238E27FC236}">
              <a16:creationId xmlns:a16="http://schemas.microsoft.com/office/drawing/2014/main" id="{00000000-0008-0000-0100-00003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7" name="연결선: 꺾임 306">
          <a:extLst>
            <a:ext uri="{FF2B5EF4-FFF2-40B4-BE49-F238E27FC236}">
              <a16:creationId xmlns:a16="http://schemas.microsoft.com/office/drawing/2014/main" id="{00000000-0008-0000-0100-00003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8" name="연결선: 꺾임 307">
          <a:extLst>
            <a:ext uri="{FF2B5EF4-FFF2-40B4-BE49-F238E27FC236}">
              <a16:creationId xmlns:a16="http://schemas.microsoft.com/office/drawing/2014/main" id="{00000000-0008-0000-0100-00003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9" name="연결선: 꺾임 308">
          <a:extLst>
            <a:ext uri="{FF2B5EF4-FFF2-40B4-BE49-F238E27FC236}">
              <a16:creationId xmlns:a16="http://schemas.microsoft.com/office/drawing/2014/main" id="{00000000-0008-0000-0100-00003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0" name="연결선: 꺾임 309">
          <a:extLst>
            <a:ext uri="{FF2B5EF4-FFF2-40B4-BE49-F238E27FC236}">
              <a16:creationId xmlns:a16="http://schemas.microsoft.com/office/drawing/2014/main" id="{00000000-0008-0000-0100-00003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1" name="연결선: 꺾임 310">
          <a:extLst>
            <a:ext uri="{FF2B5EF4-FFF2-40B4-BE49-F238E27FC236}">
              <a16:creationId xmlns:a16="http://schemas.microsoft.com/office/drawing/2014/main" id="{00000000-0008-0000-0100-00003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2" name="연결선: 꺾임 311">
          <a:extLst>
            <a:ext uri="{FF2B5EF4-FFF2-40B4-BE49-F238E27FC236}">
              <a16:creationId xmlns:a16="http://schemas.microsoft.com/office/drawing/2014/main" id="{00000000-0008-0000-0100-00003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3" name="연결선: 꺾임 312">
          <a:extLst>
            <a:ext uri="{FF2B5EF4-FFF2-40B4-BE49-F238E27FC236}">
              <a16:creationId xmlns:a16="http://schemas.microsoft.com/office/drawing/2014/main" id="{00000000-0008-0000-0100-00003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4" name="연결선: 꺾임 313">
          <a:extLst>
            <a:ext uri="{FF2B5EF4-FFF2-40B4-BE49-F238E27FC236}">
              <a16:creationId xmlns:a16="http://schemas.microsoft.com/office/drawing/2014/main" id="{00000000-0008-0000-0100-00003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5" name="연결선: 꺾임 314">
          <a:extLst>
            <a:ext uri="{FF2B5EF4-FFF2-40B4-BE49-F238E27FC236}">
              <a16:creationId xmlns:a16="http://schemas.microsoft.com/office/drawing/2014/main" id="{00000000-0008-0000-0100-00003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6" name="연결선: 꺾임 315">
          <a:extLst>
            <a:ext uri="{FF2B5EF4-FFF2-40B4-BE49-F238E27FC236}">
              <a16:creationId xmlns:a16="http://schemas.microsoft.com/office/drawing/2014/main" id="{00000000-0008-0000-0100-00003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7" name="연결선: 꺾임 316">
          <a:extLst>
            <a:ext uri="{FF2B5EF4-FFF2-40B4-BE49-F238E27FC236}">
              <a16:creationId xmlns:a16="http://schemas.microsoft.com/office/drawing/2014/main" id="{00000000-0008-0000-0100-00003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8" name="연결선: 꺾임 317">
          <a:extLst>
            <a:ext uri="{FF2B5EF4-FFF2-40B4-BE49-F238E27FC236}">
              <a16:creationId xmlns:a16="http://schemas.microsoft.com/office/drawing/2014/main" id="{00000000-0008-0000-0100-00003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9" name="연결선: 꺾임 318">
          <a:extLst>
            <a:ext uri="{FF2B5EF4-FFF2-40B4-BE49-F238E27FC236}">
              <a16:creationId xmlns:a16="http://schemas.microsoft.com/office/drawing/2014/main" id="{00000000-0008-0000-0100-00003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0" name="연결선: 꺾임 319">
          <a:extLst>
            <a:ext uri="{FF2B5EF4-FFF2-40B4-BE49-F238E27FC236}">
              <a16:creationId xmlns:a16="http://schemas.microsoft.com/office/drawing/2014/main" id="{00000000-0008-0000-0100-00004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1" name="연결선: 꺾임 320">
          <a:extLst>
            <a:ext uri="{FF2B5EF4-FFF2-40B4-BE49-F238E27FC236}">
              <a16:creationId xmlns:a16="http://schemas.microsoft.com/office/drawing/2014/main" id="{00000000-0008-0000-0100-00004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2" name="연결선: 꺾임 321">
          <a:extLst>
            <a:ext uri="{FF2B5EF4-FFF2-40B4-BE49-F238E27FC236}">
              <a16:creationId xmlns:a16="http://schemas.microsoft.com/office/drawing/2014/main" id="{00000000-0008-0000-0100-00004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3" name="연결선: 꺾임 322">
          <a:extLst>
            <a:ext uri="{FF2B5EF4-FFF2-40B4-BE49-F238E27FC236}">
              <a16:creationId xmlns:a16="http://schemas.microsoft.com/office/drawing/2014/main" id="{00000000-0008-0000-0100-00004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4" name="연결선: 꺾임 323">
          <a:extLst>
            <a:ext uri="{FF2B5EF4-FFF2-40B4-BE49-F238E27FC236}">
              <a16:creationId xmlns:a16="http://schemas.microsoft.com/office/drawing/2014/main" id="{00000000-0008-0000-0100-00004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5" name="연결선: 꺾임 324">
          <a:extLst>
            <a:ext uri="{FF2B5EF4-FFF2-40B4-BE49-F238E27FC236}">
              <a16:creationId xmlns:a16="http://schemas.microsoft.com/office/drawing/2014/main" id="{00000000-0008-0000-0100-00004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6" name="연결선: 꺾임 325">
          <a:extLst>
            <a:ext uri="{FF2B5EF4-FFF2-40B4-BE49-F238E27FC236}">
              <a16:creationId xmlns:a16="http://schemas.microsoft.com/office/drawing/2014/main" id="{00000000-0008-0000-0100-00004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7" name="연결선: 꺾임 326">
          <a:extLst>
            <a:ext uri="{FF2B5EF4-FFF2-40B4-BE49-F238E27FC236}">
              <a16:creationId xmlns:a16="http://schemas.microsoft.com/office/drawing/2014/main" id="{00000000-0008-0000-0100-00004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8" name="연결선: 꺾임 327">
          <a:extLst>
            <a:ext uri="{FF2B5EF4-FFF2-40B4-BE49-F238E27FC236}">
              <a16:creationId xmlns:a16="http://schemas.microsoft.com/office/drawing/2014/main" id="{00000000-0008-0000-0100-00004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9" name="연결선: 꺾임 328">
          <a:extLst>
            <a:ext uri="{FF2B5EF4-FFF2-40B4-BE49-F238E27FC236}">
              <a16:creationId xmlns:a16="http://schemas.microsoft.com/office/drawing/2014/main" id="{00000000-0008-0000-0100-00004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0" name="연결선: 꺾임 329">
          <a:extLst>
            <a:ext uri="{FF2B5EF4-FFF2-40B4-BE49-F238E27FC236}">
              <a16:creationId xmlns:a16="http://schemas.microsoft.com/office/drawing/2014/main" id="{00000000-0008-0000-0100-00004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1" name="연결선: 꺾임 330">
          <a:extLst>
            <a:ext uri="{FF2B5EF4-FFF2-40B4-BE49-F238E27FC236}">
              <a16:creationId xmlns:a16="http://schemas.microsoft.com/office/drawing/2014/main" id="{00000000-0008-0000-0100-00004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2" name="연결선: 꺾임 331">
          <a:extLst>
            <a:ext uri="{FF2B5EF4-FFF2-40B4-BE49-F238E27FC236}">
              <a16:creationId xmlns:a16="http://schemas.microsoft.com/office/drawing/2014/main" id="{00000000-0008-0000-0100-00004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3" name="연결선: 꺾임 332">
          <a:extLst>
            <a:ext uri="{FF2B5EF4-FFF2-40B4-BE49-F238E27FC236}">
              <a16:creationId xmlns:a16="http://schemas.microsoft.com/office/drawing/2014/main" id="{00000000-0008-0000-0100-00004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4" name="연결선: 꺾임 333">
          <a:extLst>
            <a:ext uri="{FF2B5EF4-FFF2-40B4-BE49-F238E27FC236}">
              <a16:creationId xmlns:a16="http://schemas.microsoft.com/office/drawing/2014/main" id="{00000000-0008-0000-0100-00004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5" name="연결선: 꺾임 334">
          <a:extLst>
            <a:ext uri="{FF2B5EF4-FFF2-40B4-BE49-F238E27FC236}">
              <a16:creationId xmlns:a16="http://schemas.microsoft.com/office/drawing/2014/main" id="{00000000-0008-0000-0100-00004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6" name="연결선: 꺾임 335">
          <a:extLst>
            <a:ext uri="{FF2B5EF4-FFF2-40B4-BE49-F238E27FC236}">
              <a16:creationId xmlns:a16="http://schemas.microsoft.com/office/drawing/2014/main" id="{00000000-0008-0000-0100-00005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7" name="연결선: 꺾임 336">
          <a:extLst>
            <a:ext uri="{FF2B5EF4-FFF2-40B4-BE49-F238E27FC236}">
              <a16:creationId xmlns:a16="http://schemas.microsoft.com/office/drawing/2014/main" id="{00000000-0008-0000-0100-00005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8" name="연결선: 꺾임 337">
          <a:extLst>
            <a:ext uri="{FF2B5EF4-FFF2-40B4-BE49-F238E27FC236}">
              <a16:creationId xmlns:a16="http://schemas.microsoft.com/office/drawing/2014/main" id="{00000000-0008-0000-0100-00005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9" name="연결선: 꺾임 338">
          <a:extLst>
            <a:ext uri="{FF2B5EF4-FFF2-40B4-BE49-F238E27FC236}">
              <a16:creationId xmlns:a16="http://schemas.microsoft.com/office/drawing/2014/main" id="{00000000-0008-0000-0100-00005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0" name="연결선: 꺾임 339">
          <a:extLst>
            <a:ext uri="{FF2B5EF4-FFF2-40B4-BE49-F238E27FC236}">
              <a16:creationId xmlns:a16="http://schemas.microsoft.com/office/drawing/2014/main" id="{00000000-0008-0000-0100-00005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1" name="연결선: 꺾임 340">
          <a:extLst>
            <a:ext uri="{FF2B5EF4-FFF2-40B4-BE49-F238E27FC236}">
              <a16:creationId xmlns:a16="http://schemas.microsoft.com/office/drawing/2014/main" id="{00000000-0008-0000-0100-00005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2" name="연결선: 꺾임 341">
          <a:extLst>
            <a:ext uri="{FF2B5EF4-FFF2-40B4-BE49-F238E27FC236}">
              <a16:creationId xmlns:a16="http://schemas.microsoft.com/office/drawing/2014/main" id="{00000000-0008-0000-0100-00005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3" name="연결선: 꺾임 342">
          <a:extLst>
            <a:ext uri="{FF2B5EF4-FFF2-40B4-BE49-F238E27FC236}">
              <a16:creationId xmlns:a16="http://schemas.microsoft.com/office/drawing/2014/main" id="{00000000-0008-0000-0100-00005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4" name="연결선: 꺾임 343">
          <a:extLst>
            <a:ext uri="{FF2B5EF4-FFF2-40B4-BE49-F238E27FC236}">
              <a16:creationId xmlns:a16="http://schemas.microsoft.com/office/drawing/2014/main" id="{00000000-0008-0000-0100-00005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5" name="연결선: 꺾임 344">
          <a:extLst>
            <a:ext uri="{FF2B5EF4-FFF2-40B4-BE49-F238E27FC236}">
              <a16:creationId xmlns:a16="http://schemas.microsoft.com/office/drawing/2014/main" id="{00000000-0008-0000-0100-00005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6" name="연결선: 꺾임 345">
          <a:extLst>
            <a:ext uri="{FF2B5EF4-FFF2-40B4-BE49-F238E27FC236}">
              <a16:creationId xmlns:a16="http://schemas.microsoft.com/office/drawing/2014/main" id="{00000000-0008-0000-0100-00005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7" name="연결선: 꺾임 346">
          <a:extLst>
            <a:ext uri="{FF2B5EF4-FFF2-40B4-BE49-F238E27FC236}">
              <a16:creationId xmlns:a16="http://schemas.microsoft.com/office/drawing/2014/main" id="{00000000-0008-0000-0100-00005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8" name="연결선: 꺾임 347">
          <a:extLst>
            <a:ext uri="{FF2B5EF4-FFF2-40B4-BE49-F238E27FC236}">
              <a16:creationId xmlns:a16="http://schemas.microsoft.com/office/drawing/2014/main" id="{00000000-0008-0000-0100-00005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9" name="연결선: 꺾임 348">
          <a:extLst>
            <a:ext uri="{FF2B5EF4-FFF2-40B4-BE49-F238E27FC236}">
              <a16:creationId xmlns:a16="http://schemas.microsoft.com/office/drawing/2014/main" id="{00000000-0008-0000-0100-00005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0" name="연결선: 꺾임 349">
          <a:extLst>
            <a:ext uri="{FF2B5EF4-FFF2-40B4-BE49-F238E27FC236}">
              <a16:creationId xmlns:a16="http://schemas.microsoft.com/office/drawing/2014/main" id="{00000000-0008-0000-0100-00005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1" name="연결선: 꺾임 350">
          <a:extLst>
            <a:ext uri="{FF2B5EF4-FFF2-40B4-BE49-F238E27FC236}">
              <a16:creationId xmlns:a16="http://schemas.microsoft.com/office/drawing/2014/main" id="{00000000-0008-0000-0100-00005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2" name="연결선: 꺾임 351">
          <a:extLst>
            <a:ext uri="{FF2B5EF4-FFF2-40B4-BE49-F238E27FC236}">
              <a16:creationId xmlns:a16="http://schemas.microsoft.com/office/drawing/2014/main" id="{00000000-0008-0000-0100-00006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3" name="연결선: 꺾임 352">
          <a:extLst>
            <a:ext uri="{FF2B5EF4-FFF2-40B4-BE49-F238E27FC236}">
              <a16:creationId xmlns:a16="http://schemas.microsoft.com/office/drawing/2014/main" id="{00000000-0008-0000-0100-00006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4" name="연결선: 꺾임 353">
          <a:extLst>
            <a:ext uri="{FF2B5EF4-FFF2-40B4-BE49-F238E27FC236}">
              <a16:creationId xmlns:a16="http://schemas.microsoft.com/office/drawing/2014/main" id="{00000000-0008-0000-0100-00006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5" name="연결선: 꺾임 354">
          <a:extLst>
            <a:ext uri="{FF2B5EF4-FFF2-40B4-BE49-F238E27FC236}">
              <a16:creationId xmlns:a16="http://schemas.microsoft.com/office/drawing/2014/main" id="{00000000-0008-0000-0100-00006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6" name="연결선: 꺾임 355">
          <a:extLst>
            <a:ext uri="{FF2B5EF4-FFF2-40B4-BE49-F238E27FC236}">
              <a16:creationId xmlns:a16="http://schemas.microsoft.com/office/drawing/2014/main" id="{00000000-0008-0000-0100-00006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7" name="연결선: 꺾임 356">
          <a:extLst>
            <a:ext uri="{FF2B5EF4-FFF2-40B4-BE49-F238E27FC236}">
              <a16:creationId xmlns:a16="http://schemas.microsoft.com/office/drawing/2014/main" id="{00000000-0008-0000-0100-00006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8" name="연결선: 꺾임 357">
          <a:extLst>
            <a:ext uri="{FF2B5EF4-FFF2-40B4-BE49-F238E27FC236}">
              <a16:creationId xmlns:a16="http://schemas.microsoft.com/office/drawing/2014/main" id="{00000000-0008-0000-0100-00006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9" name="연결선: 꺾임 358">
          <a:extLst>
            <a:ext uri="{FF2B5EF4-FFF2-40B4-BE49-F238E27FC236}">
              <a16:creationId xmlns:a16="http://schemas.microsoft.com/office/drawing/2014/main" id="{00000000-0008-0000-0100-00006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0" name="연결선: 꺾임 359">
          <a:extLst>
            <a:ext uri="{FF2B5EF4-FFF2-40B4-BE49-F238E27FC236}">
              <a16:creationId xmlns:a16="http://schemas.microsoft.com/office/drawing/2014/main" id="{00000000-0008-0000-0100-00006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1" name="연결선: 꺾임 360">
          <a:extLst>
            <a:ext uri="{FF2B5EF4-FFF2-40B4-BE49-F238E27FC236}">
              <a16:creationId xmlns:a16="http://schemas.microsoft.com/office/drawing/2014/main" id="{00000000-0008-0000-0100-00006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2" name="연결선: 꺾임 361">
          <a:extLst>
            <a:ext uri="{FF2B5EF4-FFF2-40B4-BE49-F238E27FC236}">
              <a16:creationId xmlns:a16="http://schemas.microsoft.com/office/drawing/2014/main" id="{00000000-0008-0000-0100-00006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3" name="연결선: 꺾임 362">
          <a:extLst>
            <a:ext uri="{FF2B5EF4-FFF2-40B4-BE49-F238E27FC236}">
              <a16:creationId xmlns:a16="http://schemas.microsoft.com/office/drawing/2014/main" id="{00000000-0008-0000-0100-00006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4" name="연결선: 꺾임 363">
          <a:extLst>
            <a:ext uri="{FF2B5EF4-FFF2-40B4-BE49-F238E27FC236}">
              <a16:creationId xmlns:a16="http://schemas.microsoft.com/office/drawing/2014/main" id="{00000000-0008-0000-0100-00006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5" name="연결선: 꺾임 364">
          <a:extLst>
            <a:ext uri="{FF2B5EF4-FFF2-40B4-BE49-F238E27FC236}">
              <a16:creationId xmlns:a16="http://schemas.microsoft.com/office/drawing/2014/main" id="{00000000-0008-0000-0100-00006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6" name="연결선: 꺾임 365">
          <a:extLst>
            <a:ext uri="{FF2B5EF4-FFF2-40B4-BE49-F238E27FC236}">
              <a16:creationId xmlns:a16="http://schemas.microsoft.com/office/drawing/2014/main" id="{00000000-0008-0000-0100-00006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7" name="연결선: 꺾임 366">
          <a:extLst>
            <a:ext uri="{FF2B5EF4-FFF2-40B4-BE49-F238E27FC236}">
              <a16:creationId xmlns:a16="http://schemas.microsoft.com/office/drawing/2014/main" id="{00000000-0008-0000-0100-00006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8" name="연결선: 꺾임 367">
          <a:extLst>
            <a:ext uri="{FF2B5EF4-FFF2-40B4-BE49-F238E27FC236}">
              <a16:creationId xmlns:a16="http://schemas.microsoft.com/office/drawing/2014/main" id="{00000000-0008-0000-0100-00007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9" name="연결선: 꺾임 368">
          <a:extLst>
            <a:ext uri="{FF2B5EF4-FFF2-40B4-BE49-F238E27FC236}">
              <a16:creationId xmlns:a16="http://schemas.microsoft.com/office/drawing/2014/main" id="{00000000-0008-0000-0100-00007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0" name="연결선: 꺾임 369">
          <a:extLst>
            <a:ext uri="{FF2B5EF4-FFF2-40B4-BE49-F238E27FC236}">
              <a16:creationId xmlns:a16="http://schemas.microsoft.com/office/drawing/2014/main" id="{00000000-0008-0000-0100-00007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1" name="연결선: 꺾임 370">
          <a:extLst>
            <a:ext uri="{FF2B5EF4-FFF2-40B4-BE49-F238E27FC236}">
              <a16:creationId xmlns:a16="http://schemas.microsoft.com/office/drawing/2014/main" id="{00000000-0008-0000-0100-00007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2" name="연결선: 꺾임 371">
          <a:extLst>
            <a:ext uri="{FF2B5EF4-FFF2-40B4-BE49-F238E27FC236}">
              <a16:creationId xmlns:a16="http://schemas.microsoft.com/office/drawing/2014/main" id="{00000000-0008-0000-0100-00007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3" name="연결선: 꺾임 372">
          <a:extLst>
            <a:ext uri="{FF2B5EF4-FFF2-40B4-BE49-F238E27FC236}">
              <a16:creationId xmlns:a16="http://schemas.microsoft.com/office/drawing/2014/main" id="{00000000-0008-0000-0100-00007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4" name="연결선: 꺾임 373">
          <a:extLst>
            <a:ext uri="{FF2B5EF4-FFF2-40B4-BE49-F238E27FC236}">
              <a16:creationId xmlns:a16="http://schemas.microsoft.com/office/drawing/2014/main" id="{00000000-0008-0000-0100-00007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5" name="연결선: 꺾임 374">
          <a:extLst>
            <a:ext uri="{FF2B5EF4-FFF2-40B4-BE49-F238E27FC236}">
              <a16:creationId xmlns:a16="http://schemas.microsoft.com/office/drawing/2014/main" id="{00000000-0008-0000-0100-00007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6" name="연결선: 꺾임 375">
          <a:extLst>
            <a:ext uri="{FF2B5EF4-FFF2-40B4-BE49-F238E27FC236}">
              <a16:creationId xmlns:a16="http://schemas.microsoft.com/office/drawing/2014/main" id="{00000000-0008-0000-0100-00007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7" name="연결선: 꺾임 376">
          <a:extLst>
            <a:ext uri="{FF2B5EF4-FFF2-40B4-BE49-F238E27FC236}">
              <a16:creationId xmlns:a16="http://schemas.microsoft.com/office/drawing/2014/main" id="{00000000-0008-0000-0100-00007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8" name="연결선: 꺾임 377">
          <a:extLst>
            <a:ext uri="{FF2B5EF4-FFF2-40B4-BE49-F238E27FC236}">
              <a16:creationId xmlns:a16="http://schemas.microsoft.com/office/drawing/2014/main" id="{00000000-0008-0000-0100-00007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9" name="연결선: 꺾임 378">
          <a:extLst>
            <a:ext uri="{FF2B5EF4-FFF2-40B4-BE49-F238E27FC236}">
              <a16:creationId xmlns:a16="http://schemas.microsoft.com/office/drawing/2014/main" id="{00000000-0008-0000-0100-00007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0" name="연결선: 꺾임 379">
          <a:extLst>
            <a:ext uri="{FF2B5EF4-FFF2-40B4-BE49-F238E27FC236}">
              <a16:creationId xmlns:a16="http://schemas.microsoft.com/office/drawing/2014/main" id="{00000000-0008-0000-0100-00007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1" name="연결선: 꺾임 380">
          <a:extLst>
            <a:ext uri="{FF2B5EF4-FFF2-40B4-BE49-F238E27FC236}">
              <a16:creationId xmlns:a16="http://schemas.microsoft.com/office/drawing/2014/main" id="{00000000-0008-0000-0100-00007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2" name="연결선: 꺾임 381">
          <a:extLst>
            <a:ext uri="{FF2B5EF4-FFF2-40B4-BE49-F238E27FC236}">
              <a16:creationId xmlns:a16="http://schemas.microsoft.com/office/drawing/2014/main" id="{00000000-0008-0000-0100-00007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3" name="연결선: 꺾임 382">
          <a:extLst>
            <a:ext uri="{FF2B5EF4-FFF2-40B4-BE49-F238E27FC236}">
              <a16:creationId xmlns:a16="http://schemas.microsoft.com/office/drawing/2014/main" id="{00000000-0008-0000-0100-00007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4" name="연결선: 꺾임 383">
          <a:extLst>
            <a:ext uri="{FF2B5EF4-FFF2-40B4-BE49-F238E27FC236}">
              <a16:creationId xmlns:a16="http://schemas.microsoft.com/office/drawing/2014/main" id="{00000000-0008-0000-0100-00008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5" name="연결선: 꺾임 384">
          <a:extLst>
            <a:ext uri="{FF2B5EF4-FFF2-40B4-BE49-F238E27FC236}">
              <a16:creationId xmlns:a16="http://schemas.microsoft.com/office/drawing/2014/main" id="{00000000-0008-0000-0100-00008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6" name="연결선: 꺾임 385">
          <a:extLst>
            <a:ext uri="{FF2B5EF4-FFF2-40B4-BE49-F238E27FC236}">
              <a16:creationId xmlns:a16="http://schemas.microsoft.com/office/drawing/2014/main" id="{00000000-0008-0000-0100-00008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7" name="연결선: 꺾임 386">
          <a:extLst>
            <a:ext uri="{FF2B5EF4-FFF2-40B4-BE49-F238E27FC236}">
              <a16:creationId xmlns:a16="http://schemas.microsoft.com/office/drawing/2014/main" id="{00000000-0008-0000-0100-00008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8" name="연결선: 꺾임 387">
          <a:extLst>
            <a:ext uri="{FF2B5EF4-FFF2-40B4-BE49-F238E27FC236}">
              <a16:creationId xmlns:a16="http://schemas.microsoft.com/office/drawing/2014/main" id="{00000000-0008-0000-0100-00008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9" name="연결선: 꺾임 388">
          <a:extLst>
            <a:ext uri="{FF2B5EF4-FFF2-40B4-BE49-F238E27FC236}">
              <a16:creationId xmlns:a16="http://schemas.microsoft.com/office/drawing/2014/main" id="{00000000-0008-0000-0100-00008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0" name="연결선: 꺾임 389">
          <a:extLst>
            <a:ext uri="{FF2B5EF4-FFF2-40B4-BE49-F238E27FC236}">
              <a16:creationId xmlns:a16="http://schemas.microsoft.com/office/drawing/2014/main" id="{00000000-0008-0000-0100-00008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1" name="연결선: 꺾임 390">
          <a:extLst>
            <a:ext uri="{FF2B5EF4-FFF2-40B4-BE49-F238E27FC236}">
              <a16:creationId xmlns:a16="http://schemas.microsoft.com/office/drawing/2014/main" id="{00000000-0008-0000-0100-00008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2" name="연결선: 꺾임 391">
          <a:extLst>
            <a:ext uri="{FF2B5EF4-FFF2-40B4-BE49-F238E27FC236}">
              <a16:creationId xmlns:a16="http://schemas.microsoft.com/office/drawing/2014/main" id="{00000000-0008-0000-0100-00008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3" name="연결선: 꺾임 392">
          <a:extLst>
            <a:ext uri="{FF2B5EF4-FFF2-40B4-BE49-F238E27FC236}">
              <a16:creationId xmlns:a16="http://schemas.microsoft.com/office/drawing/2014/main" id="{00000000-0008-0000-0100-00008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4" name="연결선: 꺾임 393">
          <a:extLst>
            <a:ext uri="{FF2B5EF4-FFF2-40B4-BE49-F238E27FC236}">
              <a16:creationId xmlns:a16="http://schemas.microsoft.com/office/drawing/2014/main" id="{00000000-0008-0000-0100-00008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5" name="연결선: 꺾임 394">
          <a:extLst>
            <a:ext uri="{FF2B5EF4-FFF2-40B4-BE49-F238E27FC236}">
              <a16:creationId xmlns:a16="http://schemas.microsoft.com/office/drawing/2014/main" id="{00000000-0008-0000-0100-00008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6" name="연결선: 꺾임 395">
          <a:extLst>
            <a:ext uri="{FF2B5EF4-FFF2-40B4-BE49-F238E27FC236}">
              <a16:creationId xmlns:a16="http://schemas.microsoft.com/office/drawing/2014/main" id="{00000000-0008-0000-0100-00008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7" name="연결선: 꺾임 396">
          <a:extLst>
            <a:ext uri="{FF2B5EF4-FFF2-40B4-BE49-F238E27FC236}">
              <a16:creationId xmlns:a16="http://schemas.microsoft.com/office/drawing/2014/main" id="{00000000-0008-0000-0100-00008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8" name="연결선: 꺾임 397">
          <a:extLst>
            <a:ext uri="{FF2B5EF4-FFF2-40B4-BE49-F238E27FC236}">
              <a16:creationId xmlns:a16="http://schemas.microsoft.com/office/drawing/2014/main" id="{00000000-0008-0000-0100-00008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9" name="연결선: 꺾임 398">
          <a:extLst>
            <a:ext uri="{FF2B5EF4-FFF2-40B4-BE49-F238E27FC236}">
              <a16:creationId xmlns:a16="http://schemas.microsoft.com/office/drawing/2014/main" id="{00000000-0008-0000-0100-00008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0" name="연결선: 꺾임 399">
          <a:extLst>
            <a:ext uri="{FF2B5EF4-FFF2-40B4-BE49-F238E27FC236}">
              <a16:creationId xmlns:a16="http://schemas.microsoft.com/office/drawing/2014/main" id="{00000000-0008-0000-0100-00009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1" name="연결선: 꺾임 400">
          <a:extLst>
            <a:ext uri="{FF2B5EF4-FFF2-40B4-BE49-F238E27FC236}">
              <a16:creationId xmlns:a16="http://schemas.microsoft.com/office/drawing/2014/main" id="{00000000-0008-0000-0100-00009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2" name="연결선: 꺾임 401">
          <a:extLst>
            <a:ext uri="{FF2B5EF4-FFF2-40B4-BE49-F238E27FC236}">
              <a16:creationId xmlns:a16="http://schemas.microsoft.com/office/drawing/2014/main" id="{00000000-0008-0000-0100-00009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3" name="연결선: 꺾임 402">
          <a:extLst>
            <a:ext uri="{FF2B5EF4-FFF2-40B4-BE49-F238E27FC236}">
              <a16:creationId xmlns:a16="http://schemas.microsoft.com/office/drawing/2014/main" id="{00000000-0008-0000-0100-00009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4" name="연결선: 꺾임 403">
          <a:extLst>
            <a:ext uri="{FF2B5EF4-FFF2-40B4-BE49-F238E27FC236}">
              <a16:creationId xmlns:a16="http://schemas.microsoft.com/office/drawing/2014/main" id="{00000000-0008-0000-0100-00009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5" name="연결선: 꺾임 404">
          <a:extLst>
            <a:ext uri="{FF2B5EF4-FFF2-40B4-BE49-F238E27FC236}">
              <a16:creationId xmlns:a16="http://schemas.microsoft.com/office/drawing/2014/main" id="{00000000-0008-0000-0100-00009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6" name="연결선: 꺾임 405">
          <a:extLst>
            <a:ext uri="{FF2B5EF4-FFF2-40B4-BE49-F238E27FC236}">
              <a16:creationId xmlns:a16="http://schemas.microsoft.com/office/drawing/2014/main" id="{00000000-0008-0000-0100-00009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7" name="연결선: 꺾임 406">
          <a:extLst>
            <a:ext uri="{FF2B5EF4-FFF2-40B4-BE49-F238E27FC236}">
              <a16:creationId xmlns:a16="http://schemas.microsoft.com/office/drawing/2014/main" id="{00000000-0008-0000-0100-00009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8" name="연결선: 꺾임 407">
          <a:extLst>
            <a:ext uri="{FF2B5EF4-FFF2-40B4-BE49-F238E27FC236}">
              <a16:creationId xmlns:a16="http://schemas.microsoft.com/office/drawing/2014/main" id="{00000000-0008-0000-0100-00009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9" name="연결선: 꺾임 408">
          <a:extLst>
            <a:ext uri="{FF2B5EF4-FFF2-40B4-BE49-F238E27FC236}">
              <a16:creationId xmlns:a16="http://schemas.microsoft.com/office/drawing/2014/main" id="{00000000-0008-0000-0100-00009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0" name="연결선: 꺾임 409">
          <a:extLst>
            <a:ext uri="{FF2B5EF4-FFF2-40B4-BE49-F238E27FC236}">
              <a16:creationId xmlns:a16="http://schemas.microsoft.com/office/drawing/2014/main" id="{00000000-0008-0000-0100-00009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1" name="연결선: 꺾임 410">
          <a:extLst>
            <a:ext uri="{FF2B5EF4-FFF2-40B4-BE49-F238E27FC236}">
              <a16:creationId xmlns:a16="http://schemas.microsoft.com/office/drawing/2014/main" id="{00000000-0008-0000-0100-00009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2" name="연결선: 꺾임 411">
          <a:extLst>
            <a:ext uri="{FF2B5EF4-FFF2-40B4-BE49-F238E27FC236}">
              <a16:creationId xmlns:a16="http://schemas.microsoft.com/office/drawing/2014/main" id="{00000000-0008-0000-0100-00009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3" name="연결선: 꺾임 412">
          <a:extLst>
            <a:ext uri="{FF2B5EF4-FFF2-40B4-BE49-F238E27FC236}">
              <a16:creationId xmlns:a16="http://schemas.microsoft.com/office/drawing/2014/main" id="{00000000-0008-0000-0100-00009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4" name="연결선: 꺾임 413">
          <a:extLst>
            <a:ext uri="{FF2B5EF4-FFF2-40B4-BE49-F238E27FC236}">
              <a16:creationId xmlns:a16="http://schemas.microsoft.com/office/drawing/2014/main" id="{00000000-0008-0000-0100-00009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5" name="연결선: 꺾임 414">
          <a:extLst>
            <a:ext uri="{FF2B5EF4-FFF2-40B4-BE49-F238E27FC236}">
              <a16:creationId xmlns:a16="http://schemas.microsoft.com/office/drawing/2014/main" id="{00000000-0008-0000-0100-00009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9" name="연결선: 꺾임 2438">
          <a:extLst>
            <a:ext uri="{FF2B5EF4-FFF2-40B4-BE49-F238E27FC236}">
              <a16:creationId xmlns:a16="http://schemas.microsoft.com/office/drawing/2014/main" id="{00000000-0008-0000-0100-000087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0" name="연결선: 꺾임 2439">
          <a:extLst>
            <a:ext uri="{FF2B5EF4-FFF2-40B4-BE49-F238E27FC236}">
              <a16:creationId xmlns:a16="http://schemas.microsoft.com/office/drawing/2014/main" id="{00000000-0008-0000-0100-000088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1" name="연결선: 꺾임 2440">
          <a:extLst>
            <a:ext uri="{FF2B5EF4-FFF2-40B4-BE49-F238E27FC236}">
              <a16:creationId xmlns:a16="http://schemas.microsoft.com/office/drawing/2014/main" id="{00000000-0008-0000-0100-000089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2" name="연결선: 꺾임 2441">
          <a:extLst>
            <a:ext uri="{FF2B5EF4-FFF2-40B4-BE49-F238E27FC236}">
              <a16:creationId xmlns:a16="http://schemas.microsoft.com/office/drawing/2014/main" id="{00000000-0008-0000-0100-00008A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3" name="연결선: 꺾임 2442">
          <a:extLst>
            <a:ext uri="{FF2B5EF4-FFF2-40B4-BE49-F238E27FC236}">
              <a16:creationId xmlns:a16="http://schemas.microsoft.com/office/drawing/2014/main" id="{00000000-0008-0000-0100-00008B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4" name="연결선: 꺾임 2443">
          <a:extLst>
            <a:ext uri="{FF2B5EF4-FFF2-40B4-BE49-F238E27FC236}">
              <a16:creationId xmlns:a16="http://schemas.microsoft.com/office/drawing/2014/main" id="{00000000-0008-0000-0100-00008C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5" name="연결선: 꺾임 2444">
          <a:extLst>
            <a:ext uri="{FF2B5EF4-FFF2-40B4-BE49-F238E27FC236}">
              <a16:creationId xmlns:a16="http://schemas.microsoft.com/office/drawing/2014/main" id="{00000000-0008-0000-0100-00008D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6" name="연결선: 꺾임 2445">
          <a:extLst>
            <a:ext uri="{FF2B5EF4-FFF2-40B4-BE49-F238E27FC236}">
              <a16:creationId xmlns:a16="http://schemas.microsoft.com/office/drawing/2014/main" id="{00000000-0008-0000-0100-00008E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7" name="연결선: 꺾임 2446">
          <a:extLst>
            <a:ext uri="{FF2B5EF4-FFF2-40B4-BE49-F238E27FC236}">
              <a16:creationId xmlns:a16="http://schemas.microsoft.com/office/drawing/2014/main" id="{00000000-0008-0000-0100-00008F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8" name="연결선: 꺾임 2447">
          <a:extLst>
            <a:ext uri="{FF2B5EF4-FFF2-40B4-BE49-F238E27FC236}">
              <a16:creationId xmlns:a16="http://schemas.microsoft.com/office/drawing/2014/main" id="{00000000-0008-0000-0100-000090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9" name="연결선: 꺾임 2448">
          <a:extLst>
            <a:ext uri="{FF2B5EF4-FFF2-40B4-BE49-F238E27FC236}">
              <a16:creationId xmlns:a16="http://schemas.microsoft.com/office/drawing/2014/main" id="{00000000-0008-0000-0100-000091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0" name="연결선: 꺾임 2449">
          <a:extLst>
            <a:ext uri="{FF2B5EF4-FFF2-40B4-BE49-F238E27FC236}">
              <a16:creationId xmlns:a16="http://schemas.microsoft.com/office/drawing/2014/main" id="{00000000-0008-0000-0100-000092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1" name="연결선: 꺾임 2450">
          <a:extLst>
            <a:ext uri="{FF2B5EF4-FFF2-40B4-BE49-F238E27FC236}">
              <a16:creationId xmlns:a16="http://schemas.microsoft.com/office/drawing/2014/main" id="{00000000-0008-0000-0100-000093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2" name="연결선: 꺾임 2451">
          <a:extLst>
            <a:ext uri="{FF2B5EF4-FFF2-40B4-BE49-F238E27FC236}">
              <a16:creationId xmlns:a16="http://schemas.microsoft.com/office/drawing/2014/main" id="{00000000-0008-0000-0100-000094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3" name="연결선: 꺾임 2452">
          <a:extLst>
            <a:ext uri="{FF2B5EF4-FFF2-40B4-BE49-F238E27FC236}">
              <a16:creationId xmlns:a16="http://schemas.microsoft.com/office/drawing/2014/main" id="{00000000-0008-0000-0100-000095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4" name="연결선: 꺾임 2453">
          <a:extLst>
            <a:ext uri="{FF2B5EF4-FFF2-40B4-BE49-F238E27FC236}">
              <a16:creationId xmlns:a16="http://schemas.microsoft.com/office/drawing/2014/main" id="{00000000-0008-0000-0100-000096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5" name="연결선: 꺾임 2454">
          <a:extLst>
            <a:ext uri="{FF2B5EF4-FFF2-40B4-BE49-F238E27FC236}">
              <a16:creationId xmlns:a16="http://schemas.microsoft.com/office/drawing/2014/main" id="{00000000-0008-0000-0100-000097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6" name="연결선: 꺾임 2455">
          <a:extLst>
            <a:ext uri="{FF2B5EF4-FFF2-40B4-BE49-F238E27FC236}">
              <a16:creationId xmlns:a16="http://schemas.microsoft.com/office/drawing/2014/main" id="{00000000-0008-0000-0100-000098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7" name="연결선: 꺾임 2456">
          <a:extLst>
            <a:ext uri="{FF2B5EF4-FFF2-40B4-BE49-F238E27FC236}">
              <a16:creationId xmlns:a16="http://schemas.microsoft.com/office/drawing/2014/main" id="{00000000-0008-0000-0100-000099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7" name="연결선: 꺾임 18016">
          <a:extLst>
            <a:ext uri="{FF2B5EF4-FFF2-40B4-BE49-F238E27FC236}">
              <a16:creationId xmlns:a16="http://schemas.microsoft.com/office/drawing/2014/main" id="{00000000-0008-0000-0100-000061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8" name="연결선: 꺾임 18017">
          <a:extLst>
            <a:ext uri="{FF2B5EF4-FFF2-40B4-BE49-F238E27FC236}">
              <a16:creationId xmlns:a16="http://schemas.microsoft.com/office/drawing/2014/main" id="{00000000-0008-0000-0100-000062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6" name="연결선: 꺾임 55">
          <a:extLst>
            <a:ext uri="{FF2B5EF4-FFF2-40B4-BE49-F238E27FC236}">
              <a16:creationId xmlns:a16="http://schemas.microsoft.com/office/drawing/2014/main" id="{00000000-0008-0000-0100-00003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7" name="연결선: 꺾임 56">
          <a:extLst>
            <a:ext uri="{FF2B5EF4-FFF2-40B4-BE49-F238E27FC236}">
              <a16:creationId xmlns:a16="http://schemas.microsoft.com/office/drawing/2014/main" id="{00000000-0008-0000-0100-00003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8" name="연결선: 꺾임 57">
          <a:extLst>
            <a:ext uri="{FF2B5EF4-FFF2-40B4-BE49-F238E27FC236}">
              <a16:creationId xmlns:a16="http://schemas.microsoft.com/office/drawing/2014/main" id="{00000000-0008-0000-0100-00003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9" name="연결선: 꺾임 58">
          <a:extLst>
            <a:ext uri="{FF2B5EF4-FFF2-40B4-BE49-F238E27FC236}">
              <a16:creationId xmlns:a16="http://schemas.microsoft.com/office/drawing/2014/main" id="{00000000-0008-0000-0100-00003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8" name="연결선: 꺾임 17987">
          <a:extLst>
            <a:ext uri="{FF2B5EF4-FFF2-40B4-BE49-F238E27FC236}">
              <a16:creationId xmlns:a16="http://schemas.microsoft.com/office/drawing/2014/main" id="{00000000-0008-0000-0100-000044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9" name="연결선: 꺾임 17988">
          <a:extLst>
            <a:ext uri="{FF2B5EF4-FFF2-40B4-BE49-F238E27FC236}">
              <a16:creationId xmlns:a16="http://schemas.microsoft.com/office/drawing/2014/main" id="{00000000-0008-0000-0100-000045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0" name="연결선: 꺾임 17989">
          <a:extLst>
            <a:ext uri="{FF2B5EF4-FFF2-40B4-BE49-F238E27FC236}">
              <a16:creationId xmlns:a16="http://schemas.microsoft.com/office/drawing/2014/main" id="{00000000-0008-0000-0100-000046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1" name="연결선: 꺾임 17990">
          <a:extLst>
            <a:ext uri="{FF2B5EF4-FFF2-40B4-BE49-F238E27FC236}">
              <a16:creationId xmlns:a16="http://schemas.microsoft.com/office/drawing/2014/main" id="{00000000-0008-0000-0100-000047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0" name="연결선: 꺾임 17999">
          <a:extLst>
            <a:ext uri="{FF2B5EF4-FFF2-40B4-BE49-F238E27FC236}">
              <a16:creationId xmlns:a16="http://schemas.microsoft.com/office/drawing/2014/main" id="{00000000-0008-0000-0100-000050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1" name="연결선: 꺾임 18000">
          <a:extLst>
            <a:ext uri="{FF2B5EF4-FFF2-40B4-BE49-F238E27FC236}">
              <a16:creationId xmlns:a16="http://schemas.microsoft.com/office/drawing/2014/main" id="{00000000-0008-0000-0100-000051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2" name="연결선: 꺾임 18001">
          <a:extLst>
            <a:ext uri="{FF2B5EF4-FFF2-40B4-BE49-F238E27FC236}">
              <a16:creationId xmlns:a16="http://schemas.microsoft.com/office/drawing/2014/main" id="{00000000-0008-0000-0100-000052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3" name="연결선: 꺾임 18002">
          <a:extLst>
            <a:ext uri="{FF2B5EF4-FFF2-40B4-BE49-F238E27FC236}">
              <a16:creationId xmlns:a16="http://schemas.microsoft.com/office/drawing/2014/main" id="{00000000-0008-0000-0100-00005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0" name="연결선: 꺾임 9">
          <a:extLst>
            <a:ext uri="{FF2B5EF4-FFF2-40B4-BE49-F238E27FC236}">
              <a16:creationId xmlns:a16="http://schemas.microsoft.com/office/drawing/2014/main" id="{00000000-0008-0000-0100-00000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1" name="연결선: 꺾임 10">
          <a:extLst>
            <a:ext uri="{FF2B5EF4-FFF2-40B4-BE49-F238E27FC236}">
              <a16:creationId xmlns:a16="http://schemas.microsoft.com/office/drawing/2014/main" id="{00000000-0008-0000-0100-00000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 name="연결선: 꺾임 11">
          <a:extLst>
            <a:ext uri="{FF2B5EF4-FFF2-40B4-BE49-F238E27FC236}">
              <a16:creationId xmlns:a16="http://schemas.microsoft.com/office/drawing/2014/main" id="{00000000-0008-0000-0100-00000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 name="연결선: 꺾임 12">
          <a:extLst>
            <a:ext uri="{FF2B5EF4-FFF2-40B4-BE49-F238E27FC236}">
              <a16:creationId xmlns:a16="http://schemas.microsoft.com/office/drawing/2014/main" id="{00000000-0008-0000-0100-00000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 name="연결선: 꺾임 21">
          <a:extLst>
            <a:ext uri="{FF2B5EF4-FFF2-40B4-BE49-F238E27FC236}">
              <a16:creationId xmlns:a16="http://schemas.microsoft.com/office/drawing/2014/main" id="{00000000-0008-0000-0100-00001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 name="연결선: 꺾임 22">
          <a:extLst>
            <a:ext uri="{FF2B5EF4-FFF2-40B4-BE49-F238E27FC236}">
              <a16:creationId xmlns:a16="http://schemas.microsoft.com/office/drawing/2014/main" id="{00000000-0008-0000-0100-00001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 name="연결선: 꺾임 23">
          <a:extLst>
            <a:ext uri="{FF2B5EF4-FFF2-40B4-BE49-F238E27FC236}">
              <a16:creationId xmlns:a16="http://schemas.microsoft.com/office/drawing/2014/main" id="{00000000-0008-0000-0100-00001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 name="연결선: 꺾임 24">
          <a:extLst>
            <a:ext uri="{FF2B5EF4-FFF2-40B4-BE49-F238E27FC236}">
              <a16:creationId xmlns:a16="http://schemas.microsoft.com/office/drawing/2014/main" id="{00000000-0008-0000-0100-00001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 name="연결선: 꺾임 33">
          <a:extLst>
            <a:ext uri="{FF2B5EF4-FFF2-40B4-BE49-F238E27FC236}">
              <a16:creationId xmlns:a16="http://schemas.microsoft.com/office/drawing/2014/main" id="{00000000-0008-0000-0100-00002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 name="연결선: 꺾임 34">
          <a:extLst>
            <a:ext uri="{FF2B5EF4-FFF2-40B4-BE49-F238E27FC236}">
              <a16:creationId xmlns:a16="http://schemas.microsoft.com/office/drawing/2014/main" id="{00000000-0008-0000-0100-00002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 name="연결선: 꺾임 35">
          <a:extLst>
            <a:ext uri="{FF2B5EF4-FFF2-40B4-BE49-F238E27FC236}">
              <a16:creationId xmlns:a16="http://schemas.microsoft.com/office/drawing/2014/main" id="{00000000-0008-0000-0100-00002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 name="연결선: 꺾임 36">
          <a:extLst>
            <a:ext uri="{FF2B5EF4-FFF2-40B4-BE49-F238E27FC236}">
              <a16:creationId xmlns:a16="http://schemas.microsoft.com/office/drawing/2014/main" id="{00000000-0008-0000-0100-00002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6" name="연결선: 꺾임 45">
          <a:extLst>
            <a:ext uri="{FF2B5EF4-FFF2-40B4-BE49-F238E27FC236}">
              <a16:creationId xmlns:a16="http://schemas.microsoft.com/office/drawing/2014/main" id="{00000000-0008-0000-0100-00002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8" name="연결선: 꺾임 47">
          <a:extLst>
            <a:ext uri="{FF2B5EF4-FFF2-40B4-BE49-F238E27FC236}">
              <a16:creationId xmlns:a16="http://schemas.microsoft.com/office/drawing/2014/main" id="{00000000-0008-0000-0100-00003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9" name="연결선: 꺾임 48">
          <a:extLst>
            <a:ext uri="{FF2B5EF4-FFF2-40B4-BE49-F238E27FC236}">
              <a16:creationId xmlns:a16="http://schemas.microsoft.com/office/drawing/2014/main" id="{00000000-0008-0000-0100-00003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0" name="연결선: 꺾임 49">
          <a:extLst>
            <a:ext uri="{FF2B5EF4-FFF2-40B4-BE49-F238E27FC236}">
              <a16:creationId xmlns:a16="http://schemas.microsoft.com/office/drawing/2014/main" id="{00000000-0008-0000-0100-00003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3" name="연결선: 꺾임 62">
          <a:extLst>
            <a:ext uri="{FF2B5EF4-FFF2-40B4-BE49-F238E27FC236}">
              <a16:creationId xmlns:a16="http://schemas.microsoft.com/office/drawing/2014/main" id="{00000000-0008-0000-0100-00003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4" name="연결선: 꺾임 17983">
          <a:extLst>
            <a:ext uri="{FF2B5EF4-FFF2-40B4-BE49-F238E27FC236}">
              <a16:creationId xmlns:a16="http://schemas.microsoft.com/office/drawing/2014/main" id="{00000000-0008-0000-0100-000040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5" name="연결선: 꺾임 17984">
          <a:extLst>
            <a:ext uri="{FF2B5EF4-FFF2-40B4-BE49-F238E27FC236}">
              <a16:creationId xmlns:a16="http://schemas.microsoft.com/office/drawing/2014/main" id="{00000000-0008-0000-0100-000041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6" name="연결선: 꺾임 17985">
          <a:extLst>
            <a:ext uri="{FF2B5EF4-FFF2-40B4-BE49-F238E27FC236}">
              <a16:creationId xmlns:a16="http://schemas.microsoft.com/office/drawing/2014/main" id="{00000000-0008-0000-0100-000042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1" name="연결선: 꺾임 18010">
          <a:extLst>
            <a:ext uri="{FF2B5EF4-FFF2-40B4-BE49-F238E27FC236}">
              <a16:creationId xmlns:a16="http://schemas.microsoft.com/office/drawing/2014/main" id="{00000000-0008-0000-0100-00005B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2" name="연결선: 꺾임 18011">
          <a:extLst>
            <a:ext uri="{FF2B5EF4-FFF2-40B4-BE49-F238E27FC236}">
              <a16:creationId xmlns:a16="http://schemas.microsoft.com/office/drawing/2014/main" id="{00000000-0008-0000-0100-00005C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3" name="연결선: 꺾임 18012">
          <a:extLst>
            <a:ext uri="{FF2B5EF4-FFF2-40B4-BE49-F238E27FC236}">
              <a16:creationId xmlns:a16="http://schemas.microsoft.com/office/drawing/2014/main" id="{00000000-0008-0000-0100-00005D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4" name="연결선: 꺾임 18013">
          <a:extLst>
            <a:ext uri="{FF2B5EF4-FFF2-40B4-BE49-F238E27FC236}">
              <a16:creationId xmlns:a16="http://schemas.microsoft.com/office/drawing/2014/main" id="{00000000-0008-0000-0100-00005E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5" name="연결선: 꺾임 18024">
          <a:extLst>
            <a:ext uri="{FF2B5EF4-FFF2-40B4-BE49-F238E27FC236}">
              <a16:creationId xmlns:a16="http://schemas.microsoft.com/office/drawing/2014/main" id="{00000000-0008-0000-0100-00006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6" name="연결선: 꺾임 18025">
          <a:extLst>
            <a:ext uri="{FF2B5EF4-FFF2-40B4-BE49-F238E27FC236}">
              <a16:creationId xmlns:a16="http://schemas.microsoft.com/office/drawing/2014/main" id="{00000000-0008-0000-0100-00006A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7" name="연결선: 꺾임 18026">
          <a:extLst>
            <a:ext uri="{FF2B5EF4-FFF2-40B4-BE49-F238E27FC236}">
              <a16:creationId xmlns:a16="http://schemas.microsoft.com/office/drawing/2014/main" id="{00000000-0008-0000-0100-00006B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8" name="연결선: 꺾임 18027">
          <a:extLst>
            <a:ext uri="{FF2B5EF4-FFF2-40B4-BE49-F238E27FC236}">
              <a16:creationId xmlns:a16="http://schemas.microsoft.com/office/drawing/2014/main" id="{00000000-0008-0000-0100-00006C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7" name="연결선: 꺾임 18036">
          <a:extLst>
            <a:ext uri="{FF2B5EF4-FFF2-40B4-BE49-F238E27FC236}">
              <a16:creationId xmlns:a16="http://schemas.microsoft.com/office/drawing/2014/main" id="{00000000-0008-0000-0100-000075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8" name="연결선: 꺾임 18037">
          <a:extLst>
            <a:ext uri="{FF2B5EF4-FFF2-40B4-BE49-F238E27FC236}">
              <a16:creationId xmlns:a16="http://schemas.microsoft.com/office/drawing/2014/main" id="{00000000-0008-0000-0100-000076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9" name="연결선: 꺾임 18038">
          <a:extLst>
            <a:ext uri="{FF2B5EF4-FFF2-40B4-BE49-F238E27FC236}">
              <a16:creationId xmlns:a16="http://schemas.microsoft.com/office/drawing/2014/main" id="{00000000-0008-0000-0100-000077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0" name="연결선: 꺾임 18039">
          <a:extLst>
            <a:ext uri="{FF2B5EF4-FFF2-40B4-BE49-F238E27FC236}">
              <a16:creationId xmlns:a16="http://schemas.microsoft.com/office/drawing/2014/main" id="{00000000-0008-0000-0100-000078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9" name="연결선: 꺾임 128">
          <a:extLst>
            <a:ext uri="{FF2B5EF4-FFF2-40B4-BE49-F238E27FC236}">
              <a16:creationId xmlns:a16="http://schemas.microsoft.com/office/drawing/2014/main" id="{00000000-0008-0000-0100-00008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0" name="연결선: 꺾임 129">
          <a:extLst>
            <a:ext uri="{FF2B5EF4-FFF2-40B4-BE49-F238E27FC236}">
              <a16:creationId xmlns:a16="http://schemas.microsoft.com/office/drawing/2014/main" id="{00000000-0008-0000-0100-00008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1" name="연결선: 꺾임 130">
          <a:extLst>
            <a:ext uri="{FF2B5EF4-FFF2-40B4-BE49-F238E27FC236}">
              <a16:creationId xmlns:a16="http://schemas.microsoft.com/office/drawing/2014/main" id="{00000000-0008-0000-0100-00008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2" name="연결선: 꺾임 131">
          <a:extLst>
            <a:ext uri="{FF2B5EF4-FFF2-40B4-BE49-F238E27FC236}">
              <a16:creationId xmlns:a16="http://schemas.microsoft.com/office/drawing/2014/main" id="{00000000-0008-0000-0100-00008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1" name="연결선: 꺾임 140">
          <a:extLst>
            <a:ext uri="{FF2B5EF4-FFF2-40B4-BE49-F238E27FC236}">
              <a16:creationId xmlns:a16="http://schemas.microsoft.com/office/drawing/2014/main" id="{00000000-0008-0000-0100-00008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2" name="연결선: 꺾임 141">
          <a:extLst>
            <a:ext uri="{FF2B5EF4-FFF2-40B4-BE49-F238E27FC236}">
              <a16:creationId xmlns:a16="http://schemas.microsoft.com/office/drawing/2014/main" id="{00000000-0008-0000-0100-00008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2" name="연결선: 꺾임 2431">
          <a:extLst>
            <a:ext uri="{FF2B5EF4-FFF2-40B4-BE49-F238E27FC236}">
              <a16:creationId xmlns:a16="http://schemas.microsoft.com/office/drawing/2014/main" id="{00000000-0008-0000-0100-000080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3" name="연결선: 꺾임 2432">
          <a:extLst>
            <a:ext uri="{FF2B5EF4-FFF2-40B4-BE49-F238E27FC236}">
              <a16:creationId xmlns:a16="http://schemas.microsoft.com/office/drawing/2014/main" id="{00000000-0008-0000-0100-000081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1" name="연결선: 꺾임 2460">
          <a:extLst>
            <a:ext uri="{FF2B5EF4-FFF2-40B4-BE49-F238E27FC236}">
              <a16:creationId xmlns:a16="http://schemas.microsoft.com/office/drawing/2014/main" id="{00000000-0008-0000-0100-00009D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2" name="연결선: 꺾임 2461">
          <a:extLst>
            <a:ext uri="{FF2B5EF4-FFF2-40B4-BE49-F238E27FC236}">
              <a16:creationId xmlns:a16="http://schemas.microsoft.com/office/drawing/2014/main" id="{00000000-0008-0000-0100-00009E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3" name="연결선: 꺾임 2462">
          <a:extLst>
            <a:ext uri="{FF2B5EF4-FFF2-40B4-BE49-F238E27FC236}">
              <a16:creationId xmlns:a16="http://schemas.microsoft.com/office/drawing/2014/main" id="{00000000-0008-0000-0100-00009F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4" name="연결선: 꺾임 2463">
          <a:extLst>
            <a:ext uri="{FF2B5EF4-FFF2-40B4-BE49-F238E27FC236}">
              <a16:creationId xmlns:a16="http://schemas.microsoft.com/office/drawing/2014/main" id="{00000000-0008-0000-0100-0000A0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3" name="연결선: 꺾임 2472">
          <a:extLst>
            <a:ext uri="{FF2B5EF4-FFF2-40B4-BE49-F238E27FC236}">
              <a16:creationId xmlns:a16="http://schemas.microsoft.com/office/drawing/2014/main" id="{00000000-0008-0000-0100-0000A9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4" name="연결선: 꺾임 2473">
          <a:extLst>
            <a:ext uri="{FF2B5EF4-FFF2-40B4-BE49-F238E27FC236}">
              <a16:creationId xmlns:a16="http://schemas.microsoft.com/office/drawing/2014/main" id="{00000000-0008-0000-0100-0000AA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5" name="연결선: 꺾임 2474">
          <a:extLst>
            <a:ext uri="{FF2B5EF4-FFF2-40B4-BE49-F238E27FC236}">
              <a16:creationId xmlns:a16="http://schemas.microsoft.com/office/drawing/2014/main" id="{00000000-0008-0000-0100-0000AB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6" name="연결선: 꺾임 2475">
          <a:extLst>
            <a:ext uri="{FF2B5EF4-FFF2-40B4-BE49-F238E27FC236}">
              <a16:creationId xmlns:a16="http://schemas.microsoft.com/office/drawing/2014/main" id="{00000000-0008-0000-0100-0000AC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 name="연결선: 꺾임 16">
          <a:extLst>
            <a:ext uri="{FF2B5EF4-FFF2-40B4-BE49-F238E27FC236}">
              <a16:creationId xmlns:a16="http://schemas.microsoft.com/office/drawing/2014/main" id="{00000000-0008-0000-0100-00001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 name="연결선: 꺾임 17">
          <a:extLst>
            <a:ext uri="{FF2B5EF4-FFF2-40B4-BE49-F238E27FC236}">
              <a16:creationId xmlns:a16="http://schemas.microsoft.com/office/drawing/2014/main" id="{00000000-0008-0000-0100-00001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 name="연결선: 꺾임 18">
          <a:extLst>
            <a:ext uri="{FF2B5EF4-FFF2-40B4-BE49-F238E27FC236}">
              <a16:creationId xmlns:a16="http://schemas.microsoft.com/office/drawing/2014/main" id="{00000000-0008-0000-0100-00001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 name="연결선: 꺾임 19">
          <a:extLst>
            <a:ext uri="{FF2B5EF4-FFF2-40B4-BE49-F238E27FC236}">
              <a16:creationId xmlns:a16="http://schemas.microsoft.com/office/drawing/2014/main" id="{00000000-0008-0000-0100-00001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 name="연결선: 꺾임 20">
          <a:extLst>
            <a:ext uri="{FF2B5EF4-FFF2-40B4-BE49-F238E27FC236}">
              <a16:creationId xmlns:a16="http://schemas.microsoft.com/office/drawing/2014/main" id="{00000000-0008-0000-0100-00001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 name="연결선: 꺾임 40">
          <a:extLst>
            <a:ext uri="{FF2B5EF4-FFF2-40B4-BE49-F238E27FC236}">
              <a16:creationId xmlns:a16="http://schemas.microsoft.com/office/drawing/2014/main" id="{00000000-0008-0000-0100-00002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 name="연결선: 꺾임 41">
          <a:extLst>
            <a:ext uri="{FF2B5EF4-FFF2-40B4-BE49-F238E27FC236}">
              <a16:creationId xmlns:a16="http://schemas.microsoft.com/office/drawing/2014/main" id="{00000000-0008-0000-0100-00002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 name="연결선: 꺾임 42">
          <a:extLst>
            <a:ext uri="{FF2B5EF4-FFF2-40B4-BE49-F238E27FC236}">
              <a16:creationId xmlns:a16="http://schemas.microsoft.com/office/drawing/2014/main" id="{00000000-0008-0000-0100-00002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 name="연결선: 꺾임 43">
          <a:extLst>
            <a:ext uri="{FF2B5EF4-FFF2-40B4-BE49-F238E27FC236}">
              <a16:creationId xmlns:a16="http://schemas.microsoft.com/office/drawing/2014/main" id="{00000000-0008-0000-0100-00002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5" name="연결선: 꺾임 44">
          <a:extLst>
            <a:ext uri="{FF2B5EF4-FFF2-40B4-BE49-F238E27FC236}">
              <a16:creationId xmlns:a16="http://schemas.microsoft.com/office/drawing/2014/main" id="{00000000-0008-0000-0100-00002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3" name="연결선: 꺾임 17992">
          <a:extLst>
            <a:ext uri="{FF2B5EF4-FFF2-40B4-BE49-F238E27FC236}">
              <a16:creationId xmlns:a16="http://schemas.microsoft.com/office/drawing/2014/main" id="{00000000-0008-0000-0100-00004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4" name="연결선: 꺾임 17993">
          <a:extLst>
            <a:ext uri="{FF2B5EF4-FFF2-40B4-BE49-F238E27FC236}">
              <a16:creationId xmlns:a16="http://schemas.microsoft.com/office/drawing/2014/main" id="{00000000-0008-0000-0100-00004A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5" name="연결선: 꺾임 17994">
          <a:extLst>
            <a:ext uri="{FF2B5EF4-FFF2-40B4-BE49-F238E27FC236}">
              <a16:creationId xmlns:a16="http://schemas.microsoft.com/office/drawing/2014/main" id="{00000000-0008-0000-0100-00004B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6" name="연결선: 꺾임 17995">
          <a:extLst>
            <a:ext uri="{FF2B5EF4-FFF2-40B4-BE49-F238E27FC236}">
              <a16:creationId xmlns:a16="http://schemas.microsoft.com/office/drawing/2014/main" id="{00000000-0008-0000-0100-00004C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7" name="연결선: 꺾임 17996">
          <a:extLst>
            <a:ext uri="{FF2B5EF4-FFF2-40B4-BE49-F238E27FC236}">
              <a16:creationId xmlns:a16="http://schemas.microsoft.com/office/drawing/2014/main" id="{00000000-0008-0000-0100-00004D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67" name="연결선: 꺾임 18066">
          <a:extLst>
            <a:ext uri="{FF2B5EF4-FFF2-40B4-BE49-F238E27FC236}">
              <a16:creationId xmlns:a16="http://schemas.microsoft.com/office/drawing/2014/main" id="{00000000-0008-0000-0100-00009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1" name="연결선: 꺾임 18100">
          <a:extLst>
            <a:ext uri="{FF2B5EF4-FFF2-40B4-BE49-F238E27FC236}">
              <a16:creationId xmlns:a16="http://schemas.microsoft.com/office/drawing/2014/main" id="{00000000-0008-0000-0100-0000B5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5" name="연결선: 꺾임 18134">
          <a:extLst>
            <a:ext uri="{FF2B5EF4-FFF2-40B4-BE49-F238E27FC236}">
              <a16:creationId xmlns:a16="http://schemas.microsoft.com/office/drawing/2014/main" id="{00000000-0008-0000-0100-0000D7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9" name="연결선: 꺾임 18138">
          <a:extLst>
            <a:ext uri="{FF2B5EF4-FFF2-40B4-BE49-F238E27FC236}">
              <a16:creationId xmlns:a16="http://schemas.microsoft.com/office/drawing/2014/main" id="{00000000-0008-0000-0100-0000DB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0" name="연결선: 꺾임 18139">
          <a:extLst>
            <a:ext uri="{FF2B5EF4-FFF2-40B4-BE49-F238E27FC236}">
              <a16:creationId xmlns:a16="http://schemas.microsoft.com/office/drawing/2014/main" id="{00000000-0008-0000-0100-0000DC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1" name="연결선: 꺾임 18140">
          <a:extLst>
            <a:ext uri="{FF2B5EF4-FFF2-40B4-BE49-F238E27FC236}">
              <a16:creationId xmlns:a16="http://schemas.microsoft.com/office/drawing/2014/main" id="{00000000-0008-0000-0100-0000DD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2" name="연결선: 꺾임 18141">
          <a:extLst>
            <a:ext uri="{FF2B5EF4-FFF2-40B4-BE49-F238E27FC236}">
              <a16:creationId xmlns:a16="http://schemas.microsoft.com/office/drawing/2014/main" id="{00000000-0008-0000-0100-0000DE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3" name="연결선: 꺾임 18142">
          <a:extLst>
            <a:ext uri="{FF2B5EF4-FFF2-40B4-BE49-F238E27FC236}">
              <a16:creationId xmlns:a16="http://schemas.microsoft.com/office/drawing/2014/main" id="{00000000-0008-0000-0100-0000DF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4" name="연결선: 꺾임 18143">
          <a:extLst>
            <a:ext uri="{FF2B5EF4-FFF2-40B4-BE49-F238E27FC236}">
              <a16:creationId xmlns:a16="http://schemas.microsoft.com/office/drawing/2014/main" id="{00000000-0008-0000-0100-0000E0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5" name="연결선: 꺾임 18144">
          <a:extLst>
            <a:ext uri="{FF2B5EF4-FFF2-40B4-BE49-F238E27FC236}">
              <a16:creationId xmlns:a16="http://schemas.microsoft.com/office/drawing/2014/main" id="{00000000-0008-0000-0100-0000E1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6" name="연결선: 꺾임 18145">
          <a:extLst>
            <a:ext uri="{FF2B5EF4-FFF2-40B4-BE49-F238E27FC236}">
              <a16:creationId xmlns:a16="http://schemas.microsoft.com/office/drawing/2014/main" id="{00000000-0008-0000-0100-0000E2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7" name="연결선: 꺾임 18146">
          <a:extLst>
            <a:ext uri="{FF2B5EF4-FFF2-40B4-BE49-F238E27FC236}">
              <a16:creationId xmlns:a16="http://schemas.microsoft.com/office/drawing/2014/main" id="{00000000-0008-0000-0100-0000E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8" name="연결선: 꺾임 18147">
          <a:extLst>
            <a:ext uri="{FF2B5EF4-FFF2-40B4-BE49-F238E27FC236}">
              <a16:creationId xmlns:a16="http://schemas.microsoft.com/office/drawing/2014/main" id="{00000000-0008-0000-0100-0000E4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9" name="연결선: 꺾임 18148">
          <a:extLst>
            <a:ext uri="{FF2B5EF4-FFF2-40B4-BE49-F238E27FC236}">
              <a16:creationId xmlns:a16="http://schemas.microsoft.com/office/drawing/2014/main" id="{00000000-0008-0000-0100-0000E5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0" name="연결선: 꺾임 18149">
          <a:extLst>
            <a:ext uri="{FF2B5EF4-FFF2-40B4-BE49-F238E27FC236}">
              <a16:creationId xmlns:a16="http://schemas.microsoft.com/office/drawing/2014/main" id="{00000000-0008-0000-0100-0000E6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1" name="연결선: 꺾임 18150">
          <a:extLst>
            <a:ext uri="{FF2B5EF4-FFF2-40B4-BE49-F238E27FC236}">
              <a16:creationId xmlns:a16="http://schemas.microsoft.com/office/drawing/2014/main" id="{00000000-0008-0000-0100-0000E7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2" name="연결선: 꺾임 18151">
          <a:extLst>
            <a:ext uri="{FF2B5EF4-FFF2-40B4-BE49-F238E27FC236}">
              <a16:creationId xmlns:a16="http://schemas.microsoft.com/office/drawing/2014/main" id="{00000000-0008-0000-0100-0000E8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3" name="연결선: 꺾임 18152">
          <a:extLst>
            <a:ext uri="{FF2B5EF4-FFF2-40B4-BE49-F238E27FC236}">
              <a16:creationId xmlns:a16="http://schemas.microsoft.com/office/drawing/2014/main" id="{00000000-0008-0000-0100-0000E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4" name="연결선: 꺾임 18153">
          <a:extLst>
            <a:ext uri="{FF2B5EF4-FFF2-40B4-BE49-F238E27FC236}">
              <a16:creationId xmlns:a16="http://schemas.microsoft.com/office/drawing/2014/main" id="{00000000-0008-0000-0100-0000EA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5" name="연결선: 꺾임 18154">
          <a:extLst>
            <a:ext uri="{FF2B5EF4-FFF2-40B4-BE49-F238E27FC236}">
              <a16:creationId xmlns:a16="http://schemas.microsoft.com/office/drawing/2014/main" id="{00000000-0008-0000-0100-0000EB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2" name="연결선: 꺾임 18181">
          <a:extLst>
            <a:ext uri="{FF2B5EF4-FFF2-40B4-BE49-F238E27FC236}">
              <a16:creationId xmlns:a16="http://schemas.microsoft.com/office/drawing/2014/main" id="{00000000-0008-0000-0100-000006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3" name="연결선: 꺾임 18182">
          <a:extLst>
            <a:ext uri="{FF2B5EF4-FFF2-40B4-BE49-F238E27FC236}">
              <a16:creationId xmlns:a16="http://schemas.microsoft.com/office/drawing/2014/main" id="{00000000-0008-0000-0100-00000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13" name="연결선: 꺾임 18212">
          <a:extLst>
            <a:ext uri="{FF2B5EF4-FFF2-40B4-BE49-F238E27FC236}">
              <a16:creationId xmlns:a16="http://schemas.microsoft.com/office/drawing/2014/main" id="{00000000-0008-0000-0100-000025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3" name="연결선: 꺾임 18242">
          <a:extLst>
            <a:ext uri="{FF2B5EF4-FFF2-40B4-BE49-F238E27FC236}">
              <a16:creationId xmlns:a16="http://schemas.microsoft.com/office/drawing/2014/main" id="{00000000-0008-0000-0100-000043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3" name="연결선: 꺾임 18272">
          <a:extLst>
            <a:ext uri="{FF2B5EF4-FFF2-40B4-BE49-F238E27FC236}">
              <a16:creationId xmlns:a16="http://schemas.microsoft.com/office/drawing/2014/main" id="{00000000-0008-0000-0100-000061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3" name="연결선: 꺾임 18302">
          <a:extLst>
            <a:ext uri="{FF2B5EF4-FFF2-40B4-BE49-F238E27FC236}">
              <a16:creationId xmlns:a16="http://schemas.microsoft.com/office/drawing/2014/main" id="{00000000-0008-0000-0100-00007F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0" name="연결선: 꺾임 18329">
          <a:extLst>
            <a:ext uri="{FF2B5EF4-FFF2-40B4-BE49-F238E27FC236}">
              <a16:creationId xmlns:a16="http://schemas.microsoft.com/office/drawing/2014/main" id="{00000000-0008-0000-0100-00009A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1" name="연결선: 꺾임 18330">
          <a:extLst>
            <a:ext uri="{FF2B5EF4-FFF2-40B4-BE49-F238E27FC236}">
              <a16:creationId xmlns:a16="http://schemas.microsoft.com/office/drawing/2014/main" id="{00000000-0008-0000-0100-00009B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8" name="연결선: 꺾임 18357">
          <a:extLst>
            <a:ext uri="{FF2B5EF4-FFF2-40B4-BE49-F238E27FC236}">
              <a16:creationId xmlns:a16="http://schemas.microsoft.com/office/drawing/2014/main" id="{00000000-0008-0000-0100-0000B6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9" name="연결선: 꺾임 18358">
          <a:extLst>
            <a:ext uri="{FF2B5EF4-FFF2-40B4-BE49-F238E27FC236}">
              <a16:creationId xmlns:a16="http://schemas.microsoft.com/office/drawing/2014/main" id="{00000000-0008-0000-0100-0000B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6" name="연결선: 꺾임 18385">
          <a:extLst>
            <a:ext uri="{FF2B5EF4-FFF2-40B4-BE49-F238E27FC236}">
              <a16:creationId xmlns:a16="http://schemas.microsoft.com/office/drawing/2014/main" id="{00000000-0008-0000-0100-0000D2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7" name="연결선: 꺾임 18386">
          <a:extLst>
            <a:ext uri="{FF2B5EF4-FFF2-40B4-BE49-F238E27FC236}">
              <a16:creationId xmlns:a16="http://schemas.microsoft.com/office/drawing/2014/main" id="{00000000-0008-0000-0100-0000D3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4" name="연결선: 꺾임 18413">
          <a:extLst>
            <a:ext uri="{FF2B5EF4-FFF2-40B4-BE49-F238E27FC236}">
              <a16:creationId xmlns:a16="http://schemas.microsoft.com/office/drawing/2014/main" id="{00000000-0008-0000-0100-0000EE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5" name="연결선: 꺾임 18414">
          <a:extLst>
            <a:ext uri="{FF2B5EF4-FFF2-40B4-BE49-F238E27FC236}">
              <a16:creationId xmlns:a16="http://schemas.microsoft.com/office/drawing/2014/main" id="{00000000-0008-0000-0100-0000EF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42" name="연결선: 꺾임 18441">
          <a:extLst>
            <a:ext uri="{FF2B5EF4-FFF2-40B4-BE49-F238E27FC236}">
              <a16:creationId xmlns:a16="http://schemas.microsoft.com/office/drawing/2014/main" id="{00000000-0008-0000-0100-00000A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9" name="연결선: 꺾임 18468">
          <a:extLst>
            <a:ext uri="{FF2B5EF4-FFF2-40B4-BE49-F238E27FC236}">
              <a16:creationId xmlns:a16="http://schemas.microsoft.com/office/drawing/2014/main" id="{00000000-0008-0000-0100-000025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96" name="연결선: 꺾임 18495">
          <a:extLst>
            <a:ext uri="{FF2B5EF4-FFF2-40B4-BE49-F238E27FC236}">
              <a16:creationId xmlns:a16="http://schemas.microsoft.com/office/drawing/2014/main" id="{00000000-0008-0000-0100-000040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23" name="연결선: 꺾임 18522">
          <a:extLst>
            <a:ext uri="{FF2B5EF4-FFF2-40B4-BE49-F238E27FC236}">
              <a16:creationId xmlns:a16="http://schemas.microsoft.com/office/drawing/2014/main" id="{00000000-0008-0000-0100-00005B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4" name="연결선: 꺾임 53">
          <a:extLst>
            <a:ext uri="{FF2B5EF4-FFF2-40B4-BE49-F238E27FC236}">
              <a16:creationId xmlns:a16="http://schemas.microsoft.com/office/drawing/2014/main" id="{00000000-0008-0000-0100-00003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9" name="연결선: 꺾임 428">
          <a:extLst>
            <a:ext uri="{FF2B5EF4-FFF2-40B4-BE49-F238E27FC236}">
              <a16:creationId xmlns:a16="http://schemas.microsoft.com/office/drawing/2014/main" id="{00000000-0008-0000-0100-0000A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5" name="연결선: 꺾임 2464">
          <a:extLst>
            <a:ext uri="{FF2B5EF4-FFF2-40B4-BE49-F238E27FC236}">
              <a16:creationId xmlns:a16="http://schemas.microsoft.com/office/drawing/2014/main" id="{00000000-0008-0000-0100-0000A1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6" name="연결선: 꺾임 2465">
          <a:extLst>
            <a:ext uri="{FF2B5EF4-FFF2-40B4-BE49-F238E27FC236}">
              <a16:creationId xmlns:a16="http://schemas.microsoft.com/office/drawing/2014/main" id="{00000000-0008-0000-0100-0000A2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8" name="연결선: 꺾임 17997">
          <a:extLst>
            <a:ext uri="{FF2B5EF4-FFF2-40B4-BE49-F238E27FC236}">
              <a16:creationId xmlns:a16="http://schemas.microsoft.com/office/drawing/2014/main" id="{00000000-0008-0000-0100-00004E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9" name="연결선: 꺾임 17998">
          <a:extLst>
            <a:ext uri="{FF2B5EF4-FFF2-40B4-BE49-F238E27FC236}">
              <a16:creationId xmlns:a16="http://schemas.microsoft.com/office/drawing/2014/main" id="{00000000-0008-0000-0100-00004F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5" name="연결선: 꺾임 18044">
          <a:extLst>
            <a:ext uri="{FF2B5EF4-FFF2-40B4-BE49-F238E27FC236}">
              <a16:creationId xmlns:a16="http://schemas.microsoft.com/office/drawing/2014/main" id="{00000000-0008-0000-0100-00007D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6" name="연결선: 꺾임 18045">
          <a:extLst>
            <a:ext uri="{FF2B5EF4-FFF2-40B4-BE49-F238E27FC236}">
              <a16:creationId xmlns:a16="http://schemas.microsoft.com/office/drawing/2014/main" id="{00000000-0008-0000-0100-00007E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4" name="연결선: 꺾임 18073">
          <a:extLst>
            <a:ext uri="{FF2B5EF4-FFF2-40B4-BE49-F238E27FC236}">
              <a16:creationId xmlns:a16="http://schemas.microsoft.com/office/drawing/2014/main" id="{00000000-0008-0000-0100-00009A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5" name="연결선: 꺾임 18074">
          <a:extLst>
            <a:ext uri="{FF2B5EF4-FFF2-40B4-BE49-F238E27FC236}">
              <a16:creationId xmlns:a16="http://schemas.microsoft.com/office/drawing/2014/main" id="{00000000-0008-0000-0100-00009B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3" name="연결선: 꺾임 18102">
          <a:extLst>
            <a:ext uri="{FF2B5EF4-FFF2-40B4-BE49-F238E27FC236}">
              <a16:creationId xmlns:a16="http://schemas.microsoft.com/office/drawing/2014/main" id="{00000000-0008-0000-0100-0000B7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4" name="연결선: 꺾임 18103">
          <a:extLst>
            <a:ext uri="{FF2B5EF4-FFF2-40B4-BE49-F238E27FC236}">
              <a16:creationId xmlns:a16="http://schemas.microsoft.com/office/drawing/2014/main" id="{00000000-0008-0000-0100-0000B8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1" name="연결선: 꺾임 18130">
          <a:extLst>
            <a:ext uri="{FF2B5EF4-FFF2-40B4-BE49-F238E27FC236}">
              <a16:creationId xmlns:a16="http://schemas.microsoft.com/office/drawing/2014/main" id="{00000000-0008-0000-0100-0000D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2" name="연결선: 꺾임 18131">
          <a:extLst>
            <a:ext uri="{FF2B5EF4-FFF2-40B4-BE49-F238E27FC236}">
              <a16:creationId xmlns:a16="http://schemas.microsoft.com/office/drawing/2014/main" id="{00000000-0008-0000-0100-0000D4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4" name="연결선: 꺾임 18223">
          <a:extLst>
            <a:ext uri="{FF2B5EF4-FFF2-40B4-BE49-F238E27FC236}">
              <a16:creationId xmlns:a16="http://schemas.microsoft.com/office/drawing/2014/main" id="{00000000-0008-0000-0100-000030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5" name="연결선: 꺾임 18224">
          <a:extLst>
            <a:ext uri="{FF2B5EF4-FFF2-40B4-BE49-F238E27FC236}">
              <a16:creationId xmlns:a16="http://schemas.microsoft.com/office/drawing/2014/main" id="{00000000-0008-0000-0100-000031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3" name="연결선: 꺾임 18252">
          <a:extLst>
            <a:ext uri="{FF2B5EF4-FFF2-40B4-BE49-F238E27FC236}">
              <a16:creationId xmlns:a16="http://schemas.microsoft.com/office/drawing/2014/main" id="{00000000-0008-0000-0100-00004D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4" name="연결선: 꺾임 18253">
          <a:extLst>
            <a:ext uri="{FF2B5EF4-FFF2-40B4-BE49-F238E27FC236}">
              <a16:creationId xmlns:a16="http://schemas.microsoft.com/office/drawing/2014/main" id="{00000000-0008-0000-0100-00004E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3" name="연결선: 꺾임 18282">
          <a:extLst>
            <a:ext uri="{FF2B5EF4-FFF2-40B4-BE49-F238E27FC236}">
              <a16:creationId xmlns:a16="http://schemas.microsoft.com/office/drawing/2014/main" id="{00000000-0008-0000-0100-00006B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4" name="연결선: 꺾임 18283">
          <a:extLst>
            <a:ext uri="{FF2B5EF4-FFF2-40B4-BE49-F238E27FC236}">
              <a16:creationId xmlns:a16="http://schemas.microsoft.com/office/drawing/2014/main" id="{00000000-0008-0000-0100-00006C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2" name="연결선: 꺾임 18311">
          <a:extLst>
            <a:ext uri="{FF2B5EF4-FFF2-40B4-BE49-F238E27FC236}">
              <a16:creationId xmlns:a16="http://schemas.microsoft.com/office/drawing/2014/main" id="{00000000-0008-0000-0100-000088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3" name="연결선: 꺾임 18312">
          <a:extLst>
            <a:ext uri="{FF2B5EF4-FFF2-40B4-BE49-F238E27FC236}">
              <a16:creationId xmlns:a16="http://schemas.microsoft.com/office/drawing/2014/main" id="{00000000-0008-0000-0100-000089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2" name="연결선: 꺾임 18341">
          <a:extLst>
            <a:ext uri="{FF2B5EF4-FFF2-40B4-BE49-F238E27FC236}">
              <a16:creationId xmlns:a16="http://schemas.microsoft.com/office/drawing/2014/main" id="{00000000-0008-0000-0100-0000A6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3" name="연결선: 꺾임 18342">
          <a:extLst>
            <a:ext uri="{FF2B5EF4-FFF2-40B4-BE49-F238E27FC236}">
              <a16:creationId xmlns:a16="http://schemas.microsoft.com/office/drawing/2014/main" id="{00000000-0008-0000-0100-0000A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2" name="연결선: 꺾임 18371">
          <a:extLst>
            <a:ext uri="{FF2B5EF4-FFF2-40B4-BE49-F238E27FC236}">
              <a16:creationId xmlns:a16="http://schemas.microsoft.com/office/drawing/2014/main" id="{00000000-0008-0000-0100-0000C4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3" name="연결선: 꺾임 18372">
          <a:extLst>
            <a:ext uri="{FF2B5EF4-FFF2-40B4-BE49-F238E27FC236}">
              <a16:creationId xmlns:a16="http://schemas.microsoft.com/office/drawing/2014/main" id="{00000000-0008-0000-0100-0000C5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2" name="연결선: 꺾임 18401">
          <a:extLst>
            <a:ext uri="{FF2B5EF4-FFF2-40B4-BE49-F238E27FC236}">
              <a16:creationId xmlns:a16="http://schemas.microsoft.com/office/drawing/2014/main" id="{00000000-0008-0000-0100-0000E2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3" name="연결선: 꺾임 18402">
          <a:extLst>
            <a:ext uri="{FF2B5EF4-FFF2-40B4-BE49-F238E27FC236}">
              <a16:creationId xmlns:a16="http://schemas.microsoft.com/office/drawing/2014/main" id="{00000000-0008-0000-0100-0000E3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2" name="연결선: 꺾임 18431">
          <a:extLst>
            <a:ext uri="{FF2B5EF4-FFF2-40B4-BE49-F238E27FC236}">
              <a16:creationId xmlns:a16="http://schemas.microsoft.com/office/drawing/2014/main" id="{00000000-0008-0000-0100-000000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3" name="연결선: 꺾임 18432">
          <a:extLst>
            <a:ext uri="{FF2B5EF4-FFF2-40B4-BE49-F238E27FC236}">
              <a16:creationId xmlns:a16="http://schemas.microsoft.com/office/drawing/2014/main" id="{00000000-0008-0000-0100-000001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1" name="연결선: 꺾임 18460">
          <a:extLst>
            <a:ext uri="{FF2B5EF4-FFF2-40B4-BE49-F238E27FC236}">
              <a16:creationId xmlns:a16="http://schemas.microsoft.com/office/drawing/2014/main" id="{00000000-0008-0000-0100-00001D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2" name="연결선: 꺾임 18461">
          <a:extLst>
            <a:ext uri="{FF2B5EF4-FFF2-40B4-BE49-F238E27FC236}">
              <a16:creationId xmlns:a16="http://schemas.microsoft.com/office/drawing/2014/main" id="{00000000-0008-0000-0100-00001E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8" name="연결선: 꺾임 18077">
          <a:extLst>
            <a:ext uri="{FF2B5EF4-FFF2-40B4-BE49-F238E27FC236}">
              <a16:creationId xmlns:a16="http://schemas.microsoft.com/office/drawing/2014/main" id="{00000000-0008-0000-0100-00009E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89" name="연결선: 꺾임 18088">
          <a:extLst>
            <a:ext uri="{FF2B5EF4-FFF2-40B4-BE49-F238E27FC236}">
              <a16:creationId xmlns:a16="http://schemas.microsoft.com/office/drawing/2014/main" id="{00000000-0008-0000-0100-0000A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0" name="연결선: 꺾임 18099">
          <a:extLst>
            <a:ext uri="{FF2B5EF4-FFF2-40B4-BE49-F238E27FC236}">
              <a16:creationId xmlns:a16="http://schemas.microsoft.com/office/drawing/2014/main" id="{00000000-0008-0000-0100-0000B4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1" name="연결선: 꺾임 18040">
          <a:extLst>
            <a:ext uri="{FF2B5EF4-FFF2-40B4-BE49-F238E27FC236}">
              <a16:creationId xmlns:a16="http://schemas.microsoft.com/office/drawing/2014/main" id="{00000000-0008-0000-0100-00007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7" name="연결선: 꺾임 18246">
          <a:extLst>
            <a:ext uri="{FF2B5EF4-FFF2-40B4-BE49-F238E27FC236}">
              <a16:creationId xmlns:a16="http://schemas.microsoft.com/office/drawing/2014/main" id="{00000000-0008-0000-0100-00004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8" name="연결선: 꺾임 18247">
          <a:extLst>
            <a:ext uri="{FF2B5EF4-FFF2-40B4-BE49-F238E27FC236}">
              <a16:creationId xmlns:a16="http://schemas.microsoft.com/office/drawing/2014/main" id="{00000000-0008-0000-0100-000048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7" name="연결선: 꺾임 426">
          <a:extLst>
            <a:ext uri="{FF2B5EF4-FFF2-40B4-BE49-F238E27FC236}">
              <a16:creationId xmlns:a16="http://schemas.microsoft.com/office/drawing/2014/main" id="{00000000-0008-0000-0100-0000A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8" name="연결선: 꺾임 427">
          <a:extLst>
            <a:ext uri="{FF2B5EF4-FFF2-40B4-BE49-F238E27FC236}">
              <a16:creationId xmlns:a16="http://schemas.microsoft.com/office/drawing/2014/main" id="{00000000-0008-0000-0100-0000A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0" name="연결선: 꺾임 429">
          <a:extLst>
            <a:ext uri="{FF2B5EF4-FFF2-40B4-BE49-F238E27FC236}">
              <a16:creationId xmlns:a16="http://schemas.microsoft.com/office/drawing/2014/main" id="{00000000-0008-0000-0100-0000A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1" name="연결선: 꺾임 430">
          <a:extLst>
            <a:ext uri="{FF2B5EF4-FFF2-40B4-BE49-F238E27FC236}">
              <a16:creationId xmlns:a16="http://schemas.microsoft.com/office/drawing/2014/main" id="{00000000-0008-0000-0100-0000A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2" name="연결선: 꺾임 431">
          <a:extLst>
            <a:ext uri="{FF2B5EF4-FFF2-40B4-BE49-F238E27FC236}">
              <a16:creationId xmlns:a16="http://schemas.microsoft.com/office/drawing/2014/main" id="{00000000-0008-0000-0100-0000B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3" name="연결선: 꺾임 432">
          <a:extLst>
            <a:ext uri="{FF2B5EF4-FFF2-40B4-BE49-F238E27FC236}">
              <a16:creationId xmlns:a16="http://schemas.microsoft.com/office/drawing/2014/main" id="{00000000-0008-0000-0100-0000B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4" name="연결선: 꺾임 433">
          <a:extLst>
            <a:ext uri="{FF2B5EF4-FFF2-40B4-BE49-F238E27FC236}">
              <a16:creationId xmlns:a16="http://schemas.microsoft.com/office/drawing/2014/main" id="{00000000-0008-0000-0100-0000B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5" name="연결선: 꺾임 434">
          <a:extLst>
            <a:ext uri="{FF2B5EF4-FFF2-40B4-BE49-F238E27FC236}">
              <a16:creationId xmlns:a16="http://schemas.microsoft.com/office/drawing/2014/main" id="{00000000-0008-0000-0100-0000B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6" name="연결선: 꺾임 435">
          <a:extLst>
            <a:ext uri="{FF2B5EF4-FFF2-40B4-BE49-F238E27FC236}">
              <a16:creationId xmlns:a16="http://schemas.microsoft.com/office/drawing/2014/main" id="{00000000-0008-0000-0100-0000B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7" name="연결선: 꺾임 436">
          <a:extLst>
            <a:ext uri="{FF2B5EF4-FFF2-40B4-BE49-F238E27FC236}">
              <a16:creationId xmlns:a16="http://schemas.microsoft.com/office/drawing/2014/main" id="{00000000-0008-0000-0100-0000B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4" name="연결선: 꺾임 443">
          <a:extLst>
            <a:ext uri="{FF2B5EF4-FFF2-40B4-BE49-F238E27FC236}">
              <a16:creationId xmlns:a16="http://schemas.microsoft.com/office/drawing/2014/main" id="{00000000-0008-0000-0100-0000B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8" name="연결선: 꺾임 18367">
          <a:extLst>
            <a:ext uri="{FF2B5EF4-FFF2-40B4-BE49-F238E27FC236}">
              <a16:creationId xmlns:a16="http://schemas.microsoft.com/office/drawing/2014/main" id="{00000000-0008-0000-0100-0000C0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9" name="연결선: 꺾임 18368">
          <a:extLst>
            <a:ext uri="{FF2B5EF4-FFF2-40B4-BE49-F238E27FC236}">
              <a16:creationId xmlns:a16="http://schemas.microsoft.com/office/drawing/2014/main" id="{00000000-0008-0000-0100-0000C1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0" name="연결선: 꺾임 18369">
          <a:extLst>
            <a:ext uri="{FF2B5EF4-FFF2-40B4-BE49-F238E27FC236}">
              <a16:creationId xmlns:a16="http://schemas.microsoft.com/office/drawing/2014/main" id="{00000000-0008-0000-0100-0000C2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1" name="연결선: 꺾임 18370">
          <a:extLst>
            <a:ext uri="{FF2B5EF4-FFF2-40B4-BE49-F238E27FC236}">
              <a16:creationId xmlns:a16="http://schemas.microsoft.com/office/drawing/2014/main" id="{00000000-0008-0000-0100-0000C3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4" name="연결선: 꺾임 18373">
          <a:extLst>
            <a:ext uri="{FF2B5EF4-FFF2-40B4-BE49-F238E27FC236}">
              <a16:creationId xmlns:a16="http://schemas.microsoft.com/office/drawing/2014/main" id="{00000000-0008-0000-0100-0000C6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5" name="연결선: 꺾임 18374">
          <a:extLst>
            <a:ext uri="{FF2B5EF4-FFF2-40B4-BE49-F238E27FC236}">
              <a16:creationId xmlns:a16="http://schemas.microsoft.com/office/drawing/2014/main" id="{00000000-0008-0000-0100-0000C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6" name="연결선: 꺾임 18375">
          <a:extLst>
            <a:ext uri="{FF2B5EF4-FFF2-40B4-BE49-F238E27FC236}">
              <a16:creationId xmlns:a16="http://schemas.microsoft.com/office/drawing/2014/main" id="{00000000-0008-0000-0100-0000C8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7" name="연결선: 꺾임 18376">
          <a:extLst>
            <a:ext uri="{FF2B5EF4-FFF2-40B4-BE49-F238E27FC236}">
              <a16:creationId xmlns:a16="http://schemas.microsoft.com/office/drawing/2014/main" id="{00000000-0008-0000-0100-0000C9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8" name="연결선: 꺾임 18377">
          <a:extLst>
            <a:ext uri="{FF2B5EF4-FFF2-40B4-BE49-F238E27FC236}">
              <a16:creationId xmlns:a16="http://schemas.microsoft.com/office/drawing/2014/main" id="{00000000-0008-0000-0100-0000CA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9" name="연결선: 꺾임 18378">
          <a:extLst>
            <a:ext uri="{FF2B5EF4-FFF2-40B4-BE49-F238E27FC236}">
              <a16:creationId xmlns:a16="http://schemas.microsoft.com/office/drawing/2014/main" id="{00000000-0008-0000-0100-0000CB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8" name="연결선: 꺾임 18387">
          <a:extLst>
            <a:ext uri="{FF2B5EF4-FFF2-40B4-BE49-F238E27FC236}">
              <a16:creationId xmlns:a16="http://schemas.microsoft.com/office/drawing/2014/main" id="{00000000-0008-0000-0100-0000D4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7" name="연결선: 꺾임 62116">
          <a:extLst>
            <a:ext uri="{FF2B5EF4-FFF2-40B4-BE49-F238E27FC236}">
              <a16:creationId xmlns:a16="http://schemas.microsoft.com/office/drawing/2014/main" id="{00000000-0008-0000-0100-0000A5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8" name="연결선: 꺾임 62117">
          <a:extLst>
            <a:ext uri="{FF2B5EF4-FFF2-40B4-BE49-F238E27FC236}">
              <a16:creationId xmlns:a16="http://schemas.microsoft.com/office/drawing/2014/main" id="{00000000-0008-0000-0100-0000A6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9" name="연결선: 꺾임 62118">
          <a:extLst>
            <a:ext uri="{FF2B5EF4-FFF2-40B4-BE49-F238E27FC236}">
              <a16:creationId xmlns:a16="http://schemas.microsoft.com/office/drawing/2014/main" id="{00000000-0008-0000-0100-0000A7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0" name="연결선: 꺾임 62119">
          <a:extLst>
            <a:ext uri="{FF2B5EF4-FFF2-40B4-BE49-F238E27FC236}">
              <a16:creationId xmlns:a16="http://schemas.microsoft.com/office/drawing/2014/main" id="{00000000-0008-0000-0100-0000A8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1" name="연결선: 꺾임 62120">
          <a:extLst>
            <a:ext uri="{FF2B5EF4-FFF2-40B4-BE49-F238E27FC236}">
              <a16:creationId xmlns:a16="http://schemas.microsoft.com/office/drawing/2014/main" id="{00000000-0008-0000-0100-0000A9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2" name="연결선: 꺾임 62121">
          <a:extLst>
            <a:ext uri="{FF2B5EF4-FFF2-40B4-BE49-F238E27FC236}">
              <a16:creationId xmlns:a16="http://schemas.microsoft.com/office/drawing/2014/main" id="{00000000-0008-0000-0100-0000AA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3" name="연결선: 꺾임 62122">
          <a:extLst>
            <a:ext uri="{FF2B5EF4-FFF2-40B4-BE49-F238E27FC236}">
              <a16:creationId xmlns:a16="http://schemas.microsoft.com/office/drawing/2014/main" id="{00000000-0008-0000-0100-0000AB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4" name="연결선: 꺾임 62123">
          <a:extLst>
            <a:ext uri="{FF2B5EF4-FFF2-40B4-BE49-F238E27FC236}">
              <a16:creationId xmlns:a16="http://schemas.microsoft.com/office/drawing/2014/main" id="{00000000-0008-0000-0100-0000AC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5" name="연결선: 꺾임 62124">
          <a:extLst>
            <a:ext uri="{FF2B5EF4-FFF2-40B4-BE49-F238E27FC236}">
              <a16:creationId xmlns:a16="http://schemas.microsoft.com/office/drawing/2014/main" id="{00000000-0008-0000-0100-0000AD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6" name="연결선: 꺾임 62125">
          <a:extLst>
            <a:ext uri="{FF2B5EF4-FFF2-40B4-BE49-F238E27FC236}">
              <a16:creationId xmlns:a16="http://schemas.microsoft.com/office/drawing/2014/main" id="{00000000-0008-0000-0100-0000AE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33" name="연결선: 꺾임 62132">
          <a:extLst>
            <a:ext uri="{FF2B5EF4-FFF2-40B4-BE49-F238E27FC236}">
              <a16:creationId xmlns:a16="http://schemas.microsoft.com/office/drawing/2014/main" id="{00000000-0008-0000-0100-0000B5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1" name="연결선: 꺾임 440">
          <a:extLst>
            <a:ext uri="{FF2B5EF4-FFF2-40B4-BE49-F238E27FC236}">
              <a16:creationId xmlns:a16="http://schemas.microsoft.com/office/drawing/2014/main" id="{00000000-0008-0000-0100-0000B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2" name="연결선: 꺾임 441">
          <a:extLst>
            <a:ext uri="{FF2B5EF4-FFF2-40B4-BE49-F238E27FC236}">
              <a16:creationId xmlns:a16="http://schemas.microsoft.com/office/drawing/2014/main" id="{00000000-0008-0000-0100-0000B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3" name="연결선: 꺾임 442">
          <a:extLst>
            <a:ext uri="{FF2B5EF4-FFF2-40B4-BE49-F238E27FC236}">
              <a16:creationId xmlns:a16="http://schemas.microsoft.com/office/drawing/2014/main" id="{00000000-0008-0000-0100-0000B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5" name="연결선: 꺾임 444">
          <a:extLst>
            <a:ext uri="{FF2B5EF4-FFF2-40B4-BE49-F238E27FC236}">
              <a16:creationId xmlns:a16="http://schemas.microsoft.com/office/drawing/2014/main" id="{00000000-0008-0000-0100-0000B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6" name="연결선: 꺾임 445">
          <a:extLst>
            <a:ext uri="{FF2B5EF4-FFF2-40B4-BE49-F238E27FC236}">
              <a16:creationId xmlns:a16="http://schemas.microsoft.com/office/drawing/2014/main" id="{00000000-0008-0000-0100-0000B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7" name="연결선: 꺾임 446">
          <a:extLst>
            <a:ext uri="{FF2B5EF4-FFF2-40B4-BE49-F238E27FC236}">
              <a16:creationId xmlns:a16="http://schemas.microsoft.com/office/drawing/2014/main" id="{00000000-0008-0000-0100-0000B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7" name="연결선: 꺾임 17986">
          <a:extLst>
            <a:ext uri="{FF2B5EF4-FFF2-40B4-BE49-F238E27FC236}">
              <a16:creationId xmlns:a16="http://schemas.microsoft.com/office/drawing/2014/main" id="{00000000-0008-0000-0100-00004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2" name="연결선: 꺾임 17991">
          <a:extLst>
            <a:ext uri="{FF2B5EF4-FFF2-40B4-BE49-F238E27FC236}">
              <a16:creationId xmlns:a16="http://schemas.microsoft.com/office/drawing/2014/main" id="{00000000-0008-0000-0100-000048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4" name="연결선: 꺾임 18003">
          <a:extLst>
            <a:ext uri="{FF2B5EF4-FFF2-40B4-BE49-F238E27FC236}">
              <a16:creationId xmlns:a16="http://schemas.microsoft.com/office/drawing/2014/main" id="{00000000-0008-0000-0100-000054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5" name="연결선: 꺾임 18004">
          <a:extLst>
            <a:ext uri="{FF2B5EF4-FFF2-40B4-BE49-F238E27FC236}">
              <a16:creationId xmlns:a16="http://schemas.microsoft.com/office/drawing/2014/main" id="{00000000-0008-0000-0100-000055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8" name="연결선: 꺾임 2477">
          <a:extLst>
            <a:ext uri="{FF2B5EF4-FFF2-40B4-BE49-F238E27FC236}">
              <a16:creationId xmlns:a16="http://schemas.microsoft.com/office/drawing/2014/main" id="{00000000-0008-0000-0100-0000AE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9" name="연결선: 꺾임 2478">
          <a:extLst>
            <a:ext uri="{FF2B5EF4-FFF2-40B4-BE49-F238E27FC236}">
              <a16:creationId xmlns:a16="http://schemas.microsoft.com/office/drawing/2014/main" id="{00000000-0008-0000-0100-0000AF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0" name="연결선: 꺾임 2479">
          <a:extLst>
            <a:ext uri="{FF2B5EF4-FFF2-40B4-BE49-F238E27FC236}">
              <a16:creationId xmlns:a16="http://schemas.microsoft.com/office/drawing/2014/main" id="{00000000-0008-0000-0100-0000B0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1" name="연결선: 꺾임 2480">
          <a:extLst>
            <a:ext uri="{FF2B5EF4-FFF2-40B4-BE49-F238E27FC236}">
              <a16:creationId xmlns:a16="http://schemas.microsoft.com/office/drawing/2014/main" id="{00000000-0008-0000-0100-0000B1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2" name="연결선: 꺾임 2481">
          <a:extLst>
            <a:ext uri="{FF2B5EF4-FFF2-40B4-BE49-F238E27FC236}">
              <a16:creationId xmlns:a16="http://schemas.microsoft.com/office/drawing/2014/main" id="{00000000-0008-0000-0100-0000B2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3" name="연결선: 꺾임 2482">
          <a:extLst>
            <a:ext uri="{FF2B5EF4-FFF2-40B4-BE49-F238E27FC236}">
              <a16:creationId xmlns:a16="http://schemas.microsoft.com/office/drawing/2014/main" id="{00000000-0008-0000-0100-0000B3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4" name="연결선: 꺾임 2483">
          <a:extLst>
            <a:ext uri="{FF2B5EF4-FFF2-40B4-BE49-F238E27FC236}">
              <a16:creationId xmlns:a16="http://schemas.microsoft.com/office/drawing/2014/main" id="{00000000-0008-0000-0100-0000B4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5" name="연결선: 꺾임 2484">
          <a:extLst>
            <a:ext uri="{FF2B5EF4-FFF2-40B4-BE49-F238E27FC236}">
              <a16:creationId xmlns:a16="http://schemas.microsoft.com/office/drawing/2014/main" id="{00000000-0008-0000-0100-0000B5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6" name="연결선: 꺾임 2485">
          <a:extLst>
            <a:ext uri="{FF2B5EF4-FFF2-40B4-BE49-F238E27FC236}">
              <a16:creationId xmlns:a16="http://schemas.microsoft.com/office/drawing/2014/main" id="{00000000-0008-0000-0100-0000B6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7" name="연결선: 꺾임 2486">
          <a:extLst>
            <a:ext uri="{FF2B5EF4-FFF2-40B4-BE49-F238E27FC236}">
              <a16:creationId xmlns:a16="http://schemas.microsoft.com/office/drawing/2014/main" id="{00000000-0008-0000-0100-0000B7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8" name="연결선: 꺾임 2487">
          <a:extLst>
            <a:ext uri="{FF2B5EF4-FFF2-40B4-BE49-F238E27FC236}">
              <a16:creationId xmlns:a16="http://schemas.microsoft.com/office/drawing/2014/main" id="{00000000-0008-0000-0100-0000B8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4" name="연결선: 꺾임 2433">
          <a:extLst>
            <a:ext uri="{FF2B5EF4-FFF2-40B4-BE49-F238E27FC236}">
              <a16:creationId xmlns:a16="http://schemas.microsoft.com/office/drawing/2014/main" id="{00000000-0008-0000-0100-000082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5" name="연결선: 꺾임 2434">
          <a:extLst>
            <a:ext uri="{FF2B5EF4-FFF2-40B4-BE49-F238E27FC236}">
              <a16:creationId xmlns:a16="http://schemas.microsoft.com/office/drawing/2014/main" id="{00000000-0008-0000-0100-000083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6" name="연결선: 꺾임 2435">
          <a:extLst>
            <a:ext uri="{FF2B5EF4-FFF2-40B4-BE49-F238E27FC236}">
              <a16:creationId xmlns:a16="http://schemas.microsoft.com/office/drawing/2014/main" id="{00000000-0008-0000-0100-000084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7" name="연결선: 꺾임 2436">
          <a:extLst>
            <a:ext uri="{FF2B5EF4-FFF2-40B4-BE49-F238E27FC236}">
              <a16:creationId xmlns:a16="http://schemas.microsoft.com/office/drawing/2014/main" id="{00000000-0008-0000-0100-000085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8" name="연결선: 꺾임 2437">
          <a:extLst>
            <a:ext uri="{FF2B5EF4-FFF2-40B4-BE49-F238E27FC236}">
              <a16:creationId xmlns:a16="http://schemas.microsoft.com/office/drawing/2014/main" id="{00000000-0008-0000-0100-000086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8" name="연결선: 꺾임 2457">
          <a:extLst>
            <a:ext uri="{FF2B5EF4-FFF2-40B4-BE49-F238E27FC236}">
              <a16:creationId xmlns:a16="http://schemas.microsoft.com/office/drawing/2014/main" id="{00000000-0008-0000-0100-00009A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9" name="연결선: 꺾임 2458">
          <a:extLst>
            <a:ext uri="{FF2B5EF4-FFF2-40B4-BE49-F238E27FC236}">
              <a16:creationId xmlns:a16="http://schemas.microsoft.com/office/drawing/2014/main" id="{00000000-0008-0000-0100-00009B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0" name="연결선: 꺾임 2459">
          <a:extLst>
            <a:ext uri="{FF2B5EF4-FFF2-40B4-BE49-F238E27FC236}">
              <a16:creationId xmlns:a16="http://schemas.microsoft.com/office/drawing/2014/main" id="{00000000-0008-0000-0100-00009C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7" name="연결선: 꺾임 2466">
          <a:extLst>
            <a:ext uri="{FF2B5EF4-FFF2-40B4-BE49-F238E27FC236}">
              <a16:creationId xmlns:a16="http://schemas.microsoft.com/office/drawing/2014/main" id="{00000000-0008-0000-0100-0000A3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8" name="연결선: 꺾임 2467">
          <a:extLst>
            <a:ext uri="{FF2B5EF4-FFF2-40B4-BE49-F238E27FC236}">
              <a16:creationId xmlns:a16="http://schemas.microsoft.com/office/drawing/2014/main" id="{00000000-0008-0000-0100-0000A4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4" name="연결선: 꺾임 18263">
          <a:extLst>
            <a:ext uri="{FF2B5EF4-FFF2-40B4-BE49-F238E27FC236}">
              <a16:creationId xmlns:a16="http://schemas.microsoft.com/office/drawing/2014/main" id="{00000000-0008-0000-0100-000058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5" name="연결선: 꺾임 18264">
          <a:extLst>
            <a:ext uri="{FF2B5EF4-FFF2-40B4-BE49-F238E27FC236}">
              <a16:creationId xmlns:a16="http://schemas.microsoft.com/office/drawing/2014/main" id="{00000000-0008-0000-0100-000059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6" name="연결선: 꺾임 18265">
          <a:extLst>
            <a:ext uri="{FF2B5EF4-FFF2-40B4-BE49-F238E27FC236}">
              <a16:creationId xmlns:a16="http://schemas.microsoft.com/office/drawing/2014/main" id="{00000000-0008-0000-0100-00005A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7" name="연결선: 꺾임 18266">
          <a:extLst>
            <a:ext uri="{FF2B5EF4-FFF2-40B4-BE49-F238E27FC236}">
              <a16:creationId xmlns:a16="http://schemas.microsoft.com/office/drawing/2014/main" id="{00000000-0008-0000-0100-00005B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8" name="연결선: 꺾임 18267">
          <a:extLst>
            <a:ext uri="{FF2B5EF4-FFF2-40B4-BE49-F238E27FC236}">
              <a16:creationId xmlns:a16="http://schemas.microsoft.com/office/drawing/2014/main" id="{00000000-0008-0000-0100-00005C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9" name="연결선: 꺾임 18268">
          <a:extLst>
            <a:ext uri="{FF2B5EF4-FFF2-40B4-BE49-F238E27FC236}">
              <a16:creationId xmlns:a16="http://schemas.microsoft.com/office/drawing/2014/main" id="{00000000-0008-0000-0100-00005D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0" name="연결선: 꺾임 18269">
          <a:extLst>
            <a:ext uri="{FF2B5EF4-FFF2-40B4-BE49-F238E27FC236}">
              <a16:creationId xmlns:a16="http://schemas.microsoft.com/office/drawing/2014/main" id="{00000000-0008-0000-0100-00005E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4" name="연결선: 꺾임 18273">
          <a:extLst>
            <a:ext uri="{FF2B5EF4-FFF2-40B4-BE49-F238E27FC236}">
              <a16:creationId xmlns:a16="http://schemas.microsoft.com/office/drawing/2014/main" id="{00000000-0008-0000-0100-000062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6" name="연결선: 꺾임 18305">
          <a:extLst>
            <a:ext uri="{FF2B5EF4-FFF2-40B4-BE49-F238E27FC236}">
              <a16:creationId xmlns:a16="http://schemas.microsoft.com/office/drawing/2014/main" id="{00000000-0008-0000-0100-000082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7" name="연결선: 꺾임 18306">
          <a:extLst>
            <a:ext uri="{FF2B5EF4-FFF2-40B4-BE49-F238E27FC236}">
              <a16:creationId xmlns:a16="http://schemas.microsoft.com/office/drawing/2014/main" id="{00000000-0008-0000-0100-000083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8" name="연결선: 꺾임 18307">
          <a:extLst>
            <a:ext uri="{FF2B5EF4-FFF2-40B4-BE49-F238E27FC236}">
              <a16:creationId xmlns:a16="http://schemas.microsoft.com/office/drawing/2014/main" id="{00000000-0008-0000-0100-000084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9" name="연결선: 꺾임 18308">
          <a:extLst>
            <a:ext uri="{FF2B5EF4-FFF2-40B4-BE49-F238E27FC236}">
              <a16:creationId xmlns:a16="http://schemas.microsoft.com/office/drawing/2014/main" id="{00000000-0008-0000-0100-000085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0" name="연결선: 꺾임 18309">
          <a:extLst>
            <a:ext uri="{FF2B5EF4-FFF2-40B4-BE49-F238E27FC236}">
              <a16:creationId xmlns:a16="http://schemas.microsoft.com/office/drawing/2014/main" id="{00000000-0008-0000-0100-000086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1" name="연결선: 꺾임 18310">
          <a:extLst>
            <a:ext uri="{FF2B5EF4-FFF2-40B4-BE49-F238E27FC236}">
              <a16:creationId xmlns:a16="http://schemas.microsoft.com/office/drawing/2014/main" id="{00000000-0008-0000-0100-00008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4" name="연결선: 꺾임 18313">
          <a:extLst>
            <a:ext uri="{FF2B5EF4-FFF2-40B4-BE49-F238E27FC236}">
              <a16:creationId xmlns:a16="http://schemas.microsoft.com/office/drawing/2014/main" id="{00000000-0008-0000-0100-00008A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5" name="연결선: 꺾임 18314">
          <a:extLst>
            <a:ext uri="{FF2B5EF4-FFF2-40B4-BE49-F238E27FC236}">
              <a16:creationId xmlns:a16="http://schemas.microsoft.com/office/drawing/2014/main" id="{00000000-0008-0000-0100-00008B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6" name="연결선: 꺾임 18315">
          <a:extLst>
            <a:ext uri="{FF2B5EF4-FFF2-40B4-BE49-F238E27FC236}">
              <a16:creationId xmlns:a16="http://schemas.microsoft.com/office/drawing/2014/main" id="{00000000-0008-0000-0100-00008C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7" name="연결선: 꺾임 18316">
          <a:extLst>
            <a:ext uri="{FF2B5EF4-FFF2-40B4-BE49-F238E27FC236}">
              <a16:creationId xmlns:a16="http://schemas.microsoft.com/office/drawing/2014/main" id="{00000000-0008-0000-0100-00008D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8" name="연결선: 꺾임 18317">
          <a:extLst>
            <a:ext uri="{FF2B5EF4-FFF2-40B4-BE49-F238E27FC236}">
              <a16:creationId xmlns:a16="http://schemas.microsoft.com/office/drawing/2014/main" id="{00000000-0008-0000-0100-00008E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7" name="연결선: 꺾임 18396">
          <a:extLst>
            <a:ext uri="{FF2B5EF4-FFF2-40B4-BE49-F238E27FC236}">
              <a16:creationId xmlns:a16="http://schemas.microsoft.com/office/drawing/2014/main" id="{00000000-0008-0000-0100-0000DD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8" name="연결선: 꺾임 18397">
          <a:extLst>
            <a:ext uri="{FF2B5EF4-FFF2-40B4-BE49-F238E27FC236}">
              <a16:creationId xmlns:a16="http://schemas.microsoft.com/office/drawing/2014/main" id="{00000000-0008-0000-0100-0000DE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9" name="연결선: 꺾임 18398">
          <a:extLst>
            <a:ext uri="{FF2B5EF4-FFF2-40B4-BE49-F238E27FC236}">
              <a16:creationId xmlns:a16="http://schemas.microsoft.com/office/drawing/2014/main" id="{00000000-0008-0000-0100-0000DF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0" name="연결선: 꺾임 18399">
          <a:extLst>
            <a:ext uri="{FF2B5EF4-FFF2-40B4-BE49-F238E27FC236}">
              <a16:creationId xmlns:a16="http://schemas.microsoft.com/office/drawing/2014/main" id="{00000000-0008-0000-0100-0000E0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1" name="연결선: 꺾임 18400">
          <a:extLst>
            <a:ext uri="{FF2B5EF4-FFF2-40B4-BE49-F238E27FC236}">
              <a16:creationId xmlns:a16="http://schemas.microsoft.com/office/drawing/2014/main" id="{00000000-0008-0000-0100-0000E1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4" name="연결선: 꺾임 18403">
          <a:extLst>
            <a:ext uri="{FF2B5EF4-FFF2-40B4-BE49-F238E27FC236}">
              <a16:creationId xmlns:a16="http://schemas.microsoft.com/office/drawing/2014/main" id="{00000000-0008-0000-0100-0000E4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5" name="연결선: 꺾임 18404">
          <a:extLst>
            <a:ext uri="{FF2B5EF4-FFF2-40B4-BE49-F238E27FC236}">
              <a16:creationId xmlns:a16="http://schemas.microsoft.com/office/drawing/2014/main" id="{00000000-0008-0000-0100-0000E5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6" name="연결선: 꺾임 18405">
          <a:extLst>
            <a:ext uri="{FF2B5EF4-FFF2-40B4-BE49-F238E27FC236}">
              <a16:creationId xmlns:a16="http://schemas.microsoft.com/office/drawing/2014/main" id="{00000000-0008-0000-0100-0000E6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7" name="연결선: 꺾임 18406">
          <a:extLst>
            <a:ext uri="{FF2B5EF4-FFF2-40B4-BE49-F238E27FC236}">
              <a16:creationId xmlns:a16="http://schemas.microsoft.com/office/drawing/2014/main" id="{00000000-0008-0000-0100-0000E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8" name="연결선: 꺾임 18407">
          <a:extLst>
            <a:ext uri="{FF2B5EF4-FFF2-40B4-BE49-F238E27FC236}">
              <a16:creationId xmlns:a16="http://schemas.microsoft.com/office/drawing/2014/main" id="{00000000-0008-0000-0100-0000E8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2" name="연결선: 꺾임 64591">
          <a:extLst>
            <a:ext uri="{FF2B5EF4-FFF2-40B4-BE49-F238E27FC236}">
              <a16:creationId xmlns:a16="http://schemas.microsoft.com/office/drawing/2014/main" id="{00000000-0008-0000-0100-000050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3" name="연결선: 꺾임 64592">
          <a:extLst>
            <a:ext uri="{FF2B5EF4-FFF2-40B4-BE49-F238E27FC236}">
              <a16:creationId xmlns:a16="http://schemas.microsoft.com/office/drawing/2014/main" id="{00000000-0008-0000-0100-000051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4" name="연결선: 꺾임 64593">
          <a:extLst>
            <a:ext uri="{FF2B5EF4-FFF2-40B4-BE49-F238E27FC236}">
              <a16:creationId xmlns:a16="http://schemas.microsoft.com/office/drawing/2014/main" id="{00000000-0008-0000-0100-000052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5" name="연결선: 꺾임 64594">
          <a:extLst>
            <a:ext uri="{FF2B5EF4-FFF2-40B4-BE49-F238E27FC236}">
              <a16:creationId xmlns:a16="http://schemas.microsoft.com/office/drawing/2014/main" id="{00000000-0008-0000-0100-000053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6" name="연결선: 꺾임 64595">
          <a:extLst>
            <a:ext uri="{FF2B5EF4-FFF2-40B4-BE49-F238E27FC236}">
              <a16:creationId xmlns:a16="http://schemas.microsoft.com/office/drawing/2014/main" id="{00000000-0008-0000-0100-000054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7" name="연결선: 꺾임 64596">
          <a:extLst>
            <a:ext uri="{FF2B5EF4-FFF2-40B4-BE49-F238E27FC236}">
              <a16:creationId xmlns:a16="http://schemas.microsoft.com/office/drawing/2014/main" id="{00000000-0008-0000-0100-000055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8" name="연결선: 꺾임 64597">
          <a:extLst>
            <a:ext uri="{FF2B5EF4-FFF2-40B4-BE49-F238E27FC236}">
              <a16:creationId xmlns:a16="http://schemas.microsoft.com/office/drawing/2014/main" id="{00000000-0008-0000-0100-000056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9" name="연결선: 꺾임 64598">
          <a:extLst>
            <a:ext uri="{FF2B5EF4-FFF2-40B4-BE49-F238E27FC236}">
              <a16:creationId xmlns:a16="http://schemas.microsoft.com/office/drawing/2014/main" id="{00000000-0008-0000-0100-000057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0" name="연결선: 꺾임 64599">
          <a:extLst>
            <a:ext uri="{FF2B5EF4-FFF2-40B4-BE49-F238E27FC236}">
              <a16:creationId xmlns:a16="http://schemas.microsoft.com/office/drawing/2014/main" id="{00000000-0008-0000-0100-000058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1" name="연결선: 꺾임 64600">
          <a:extLst>
            <a:ext uri="{FF2B5EF4-FFF2-40B4-BE49-F238E27FC236}">
              <a16:creationId xmlns:a16="http://schemas.microsoft.com/office/drawing/2014/main" id="{00000000-0008-0000-0100-000059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59" name="연결선: 꺾임 64658">
          <a:extLst>
            <a:ext uri="{FF2B5EF4-FFF2-40B4-BE49-F238E27FC236}">
              <a16:creationId xmlns:a16="http://schemas.microsoft.com/office/drawing/2014/main" id="{00000000-0008-0000-0100-000093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0" name="연결선: 꺾임 64659">
          <a:extLst>
            <a:ext uri="{FF2B5EF4-FFF2-40B4-BE49-F238E27FC236}">
              <a16:creationId xmlns:a16="http://schemas.microsoft.com/office/drawing/2014/main" id="{00000000-0008-0000-0100-000094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1" name="연결선: 꺾임 64660">
          <a:extLst>
            <a:ext uri="{FF2B5EF4-FFF2-40B4-BE49-F238E27FC236}">
              <a16:creationId xmlns:a16="http://schemas.microsoft.com/office/drawing/2014/main" id="{00000000-0008-0000-0100-000095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2" name="연결선: 꺾임 64661">
          <a:extLst>
            <a:ext uri="{FF2B5EF4-FFF2-40B4-BE49-F238E27FC236}">
              <a16:creationId xmlns:a16="http://schemas.microsoft.com/office/drawing/2014/main" id="{00000000-0008-0000-0100-000096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3" name="연결선: 꺾임 64662">
          <a:extLst>
            <a:ext uri="{FF2B5EF4-FFF2-40B4-BE49-F238E27FC236}">
              <a16:creationId xmlns:a16="http://schemas.microsoft.com/office/drawing/2014/main" id="{00000000-0008-0000-0100-000097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4" name="연결선: 꺾임 64663">
          <a:extLst>
            <a:ext uri="{FF2B5EF4-FFF2-40B4-BE49-F238E27FC236}">
              <a16:creationId xmlns:a16="http://schemas.microsoft.com/office/drawing/2014/main" id="{00000000-0008-0000-0100-000098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5" name="연결선: 꺾임 64664">
          <a:extLst>
            <a:ext uri="{FF2B5EF4-FFF2-40B4-BE49-F238E27FC236}">
              <a16:creationId xmlns:a16="http://schemas.microsoft.com/office/drawing/2014/main" id="{00000000-0008-0000-0100-000099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6" name="연결선: 꺾임 64665">
          <a:extLst>
            <a:ext uri="{FF2B5EF4-FFF2-40B4-BE49-F238E27FC236}">
              <a16:creationId xmlns:a16="http://schemas.microsoft.com/office/drawing/2014/main" id="{00000000-0008-0000-0100-00009A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7" name="연결선: 꺾임 64666">
          <a:extLst>
            <a:ext uri="{FF2B5EF4-FFF2-40B4-BE49-F238E27FC236}">
              <a16:creationId xmlns:a16="http://schemas.microsoft.com/office/drawing/2014/main" id="{00000000-0008-0000-0100-00009B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8" name="연결선: 꺾임 64667">
          <a:extLst>
            <a:ext uri="{FF2B5EF4-FFF2-40B4-BE49-F238E27FC236}">
              <a16:creationId xmlns:a16="http://schemas.microsoft.com/office/drawing/2014/main" id="{00000000-0008-0000-0100-00009C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0" name="연결선: 꺾임 64579">
          <a:extLst>
            <a:ext uri="{FF2B5EF4-FFF2-40B4-BE49-F238E27FC236}">
              <a16:creationId xmlns:a16="http://schemas.microsoft.com/office/drawing/2014/main" id="{00000000-0008-0000-0100-000044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1" name="연결선: 꺾임 64580">
          <a:extLst>
            <a:ext uri="{FF2B5EF4-FFF2-40B4-BE49-F238E27FC236}">
              <a16:creationId xmlns:a16="http://schemas.microsoft.com/office/drawing/2014/main" id="{00000000-0008-0000-0100-000045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2" name="연결선: 꺾임 64581">
          <a:extLst>
            <a:ext uri="{FF2B5EF4-FFF2-40B4-BE49-F238E27FC236}">
              <a16:creationId xmlns:a16="http://schemas.microsoft.com/office/drawing/2014/main" id="{00000000-0008-0000-0100-000046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3" name="연결선: 꺾임 64582">
          <a:extLst>
            <a:ext uri="{FF2B5EF4-FFF2-40B4-BE49-F238E27FC236}">
              <a16:creationId xmlns:a16="http://schemas.microsoft.com/office/drawing/2014/main" id="{00000000-0008-0000-0100-000047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4" name="연결선: 꺾임 64583">
          <a:extLst>
            <a:ext uri="{FF2B5EF4-FFF2-40B4-BE49-F238E27FC236}">
              <a16:creationId xmlns:a16="http://schemas.microsoft.com/office/drawing/2014/main" id="{00000000-0008-0000-0100-000048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5" name="연결선: 꺾임 64584">
          <a:extLst>
            <a:ext uri="{FF2B5EF4-FFF2-40B4-BE49-F238E27FC236}">
              <a16:creationId xmlns:a16="http://schemas.microsoft.com/office/drawing/2014/main" id="{00000000-0008-0000-0100-000049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6" name="연결선: 꺾임 64585">
          <a:extLst>
            <a:ext uri="{FF2B5EF4-FFF2-40B4-BE49-F238E27FC236}">
              <a16:creationId xmlns:a16="http://schemas.microsoft.com/office/drawing/2014/main" id="{00000000-0008-0000-0100-00004A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7" name="연결선: 꺾임 64586">
          <a:extLst>
            <a:ext uri="{FF2B5EF4-FFF2-40B4-BE49-F238E27FC236}">
              <a16:creationId xmlns:a16="http://schemas.microsoft.com/office/drawing/2014/main" id="{00000000-0008-0000-0100-00004B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8" name="연결선: 꺾임 64587">
          <a:extLst>
            <a:ext uri="{FF2B5EF4-FFF2-40B4-BE49-F238E27FC236}">
              <a16:creationId xmlns:a16="http://schemas.microsoft.com/office/drawing/2014/main" id="{00000000-0008-0000-0100-00004C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9" name="연결선: 꺾임 64588">
          <a:extLst>
            <a:ext uri="{FF2B5EF4-FFF2-40B4-BE49-F238E27FC236}">
              <a16:creationId xmlns:a16="http://schemas.microsoft.com/office/drawing/2014/main" id="{00000000-0008-0000-0100-00004D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0" name="연결선: 꺾임 65019">
          <a:extLst>
            <a:ext uri="{FF2B5EF4-FFF2-40B4-BE49-F238E27FC236}">
              <a16:creationId xmlns:a16="http://schemas.microsoft.com/office/drawing/2014/main" id="{00000000-0008-0000-0100-0000FC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1" name="연결선: 꺾임 65020">
          <a:extLst>
            <a:ext uri="{FF2B5EF4-FFF2-40B4-BE49-F238E27FC236}">
              <a16:creationId xmlns:a16="http://schemas.microsoft.com/office/drawing/2014/main" id="{00000000-0008-0000-0100-0000FD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2" name="연결선: 꺾임 65021">
          <a:extLst>
            <a:ext uri="{FF2B5EF4-FFF2-40B4-BE49-F238E27FC236}">
              <a16:creationId xmlns:a16="http://schemas.microsoft.com/office/drawing/2014/main" id="{00000000-0008-0000-0100-0000FE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3" name="연결선: 꺾임 65022">
          <a:extLst>
            <a:ext uri="{FF2B5EF4-FFF2-40B4-BE49-F238E27FC236}">
              <a16:creationId xmlns:a16="http://schemas.microsoft.com/office/drawing/2014/main" id="{00000000-0008-0000-0100-0000FF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9" name="연결선: 꺾임 2468">
          <a:extLst>
            <a:ext uri="{FF2B5EF4-FFF2-40B4-BE49-F238E27FC236}">
              <a16:creationId xmlns:a16="http://schemas.microsoft.com/office/drawing/2014/main" id="{00000000-0008-0000-0100-0000A5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0" name="연결선: 꺾임 2469">
          <a:extLst>
            <a:ext uri="{FF2B5EF4-FFF2-40B4-BE49-F238E27FC236}">
              <a16:creationId xmlns:a16="http://schemas.microsoft.com/office/drawing/2014/main" id="{00000000-0008-0000-0100-0000A6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1" name="연결선: 꺾임 2470">
          <a:extLst>
            <a:ext uri="{FF2B5EF4-FFF2-40B4-BE49-F238E27FC236}">
              <a16:creationId xmlns:a16="http://schemas.microsoft.com/office/drawing/2014/main" id="{00000000-0008-0000-0100-0000A7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2" name="연결선: 꺾임 2471">
          <a:extLst>
            <a:ext uri="{FF2B5EF4-FFF2-40B4-BE49-F238E27FC236}">
              <a16:creationId xmlns:a16="http://schemas.microsoft.com/office/drawing/2014/main" id="{00000000-0008-0000-0100-0000A8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7" name="연결선: 꺾임 2476">
          <a:extLst>
            <a:ext uri="{FF2B5EF4-FFF2-40B4-BE49-F238E27FC236}">
              <a16:creationId xmlns:a16="http://schemas.microsoft.com/office/drawing/2014/main" id="{00000000-0008-0000-0100-0000AD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9" name="연결선: 꺾임 2488">
          <a:extLst>
            <a:ext uri="{FF2B5EF4-FFF2-40B4-BE49-F238E27FC236}">
              <a16:creationId xmlns:a16="http://schemas.microsoft.com/office/drawing/2014/main" id="{00000000-0008-0000-0100-0000B9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2" name="연결선: 꺾임 62141">
          <a:extLst>
            <a:ext uri="{FF2B5EF4-FFF2-40B4-BE49-F238E27FC236}">
              <a16:creationId xmlns:a16="http://schemas.microsoft.com/office/drawing/2014/main" id="{00000000-0008-0000-0100-0000BE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3" name="연결선: 꺾임 62142">
          <a:extLst>
            <a:ext uri="{FF2B5EF4-FFF2-40B4-BE49-F238E27FC236}">
              <a16:creationId xmlns:a16="http://schemas.microsoft.com/office/drawing/2014/main" id="{00000000-0008-0000-0100-0000BF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6" name="연결선: 꺾임 18005">
          <a:extLst>
            <a:ext uri="{FF2B5EF4-FFF2-40B4-BE49-F238E27FC236}">
              <a16:creationId xmlns:a16="http://schemas.microsoft.com/office/drawing/2014/main" id="{00000000-0008-0000-0100-000056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7" name="연결선: 꺾임 18006">
          <a:extLst>
            <a:ext uri="{FF2B5EF4-FFF2-40B4-BE49-F238E27FC236}">
              <a16:creationId xmlns:a16="http://schemas.microsoft.com/office/drawing/2014/main" id="{00000000-0008-0000-0100-000057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8" name="연결선: 꺾임 18007">
          <a:extLst>
            <a:ext uri="{FF2B5EF4-FFF2-40B4-BE49-F238E27FC236}">
              <a16:creationId xmlns:a16="http://schemas.microsoft.com/office/drawing/2014/main" id="{00000000-0008-0000-0100-000058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9" name="연결선: 꺾임 18008">
          <a:extLst>
            <a:ext uri="{FF2B5EF4-FFF2-40B4-BE49-F238E27FC236}">
              <a16:creationId xmlns:a16="http://schemas.microsoft.com/office/drawing/2014/main" id="{00000000-0008-0000-0100-00005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0" name="연결선: 꺾임 18009">
          <a:extLst>
            <a:ext uri="{FF2B5EF4-FFF2-40B4-BE49-F238E27FC236}">
              <a16:creationId xmlns:a16="http://schemas.microsoft.com/office/drawing/2014/main" id="{00000000-0008-0000-0100-00005A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5" name="연결선: 꺾임 18014">
          <a:extLst>
            <a:ext uri="{FF2B5EF4-FFF2-40B4-BE49-F238E27FC236}">
              <a16:creationId xmlns:a16="http://schemas.microsoft.com/office/drawing/2014/main" id="{00000000-0008-0000-0100-00005F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6" name="연결선: 꺾임 18015">
          <a:extLst>
            <a:ext uri="{FF2B5EF4-FFF2-40B4-BE49-F238E27FC236}">
              <a16:creationId xmlns:a16="http://schemas.microsoft.com/office/drawing/2014/main" id="{00000000-0008-0000-0100-000060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9" name="연결선: 꺾임 18018">
          <a:extLst>
            <a:ext uri="{FF2B5EF4-FFF2-40B4-BE49-F238E27FC236}">
              <a16:creationId xmlns:a16="http://schemas.microsoft.com/office/drawing/2014/main" id="{00000000-0008-0000-0100-00006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3" name="연결선: 꺾임 18092">
          <a:extLst>
            <a:ext uri="{FF2B5EF4-FFF2-40B4-BE49-F238E27FC236}">
              <a16:creationId xmlns:a16="http://schemas.microsoft.com/office/drawing/2014/main" id="{00000000-0008-0000-0100-0000AD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4" name="연결선: 꺾임 18093">
          <a:extLst>
            <a:ext uri="{FF2B5EF4-FFF2-40B4-BE49-F238E27FC236}">
              <a16:creationId xmlns:a16="http://schemas.microsoft.com/office/drawing/2014/main" id="{00000000-0008-0000-0100-0000AE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5" name="연결선: 꺾임 18094">
          <a:extLst>
            <a:ext uri="{FF2B5EF4-FFF2-40B4-BE49-F238E27FC236}">
              <a16:creationId xmlns:a16="http://schemas.microsoft.com/office/drawing/2014/main" id="{00000000-0008-0000-0100-0000AF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6" name="연결선: 꺾임 18095">
          <a:extLst>
            <a:ext uri="{FF2B5EF4-FFF2-40B4-BE49-F238E27FC236}">
              <a16:creationId xmlns:a16="http://schemas.microsoft.com/office/drawing/2014/main" id="{00000000-0008-0000-0100-0000B0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7" name="연결선: 꺾임 18096">
          <a:extLst>
            <a:ext uri="{FF2B5EF4-FFF2-40B4-BE49-F238E27FC236}">
              <a16:creationId xmlns:a16="http://schemas.microsoft.com/office/drawing/2014/main" id="{00000000-0008-0000-0100-0000B1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8" name="연결선: 꺾임 18097">
          <a:extLst>
            <a:ext uri="{FF2B5EF4-FFF2-40B4-BE49-F238E27FC236}">
              <a16:creationId xmlns:a16="http://schemas.microsoft.com/office/drawing/2014/main" id="{00000000-0008-0000-0100-0000B2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9" name="연결선: 꺾임 18098">
          <a:extLst>
            <a:ext uri="{FF2B5EF4-FFF2-40B4-BE49-F238E27FC236}">
              <a16:creationId xmlns:a16="http://schemas.microsoft.com/office/drawing/2014/main" id="{00000000-0008-0000-0100-0000B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2" name="연결선: 꺾임 18101">
          <a:extLst>
            <a:ext uri="{FF2B5EF4-FFF2-40B4-BE49-F238E27FC236}">
              <a16:creationId xmlns:a16="http://schemas.microsoft.com/office/drawing/2014/main" id="{00000000-0008-0000-0100-0000B6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5" name="연결선: 꺾임 18104">
          <a:extLst>
            <a:ext uri="{FF2B5EF4-FFF2-40B4-BE49-F238E27FC236}">
              <a16:creationId xmlns:a16="http://schemas.microsoft.com/office/drawing/2014/main" id="{00000000-0008-0000-0100-0000B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6" name="연결선: 꺾임 18105">
          <a:extLst>
            <a:ext uri="{FF2B5EF4-FFF2-40B4-BE49-F238E27FC236}">
              <a16:creationId xmlns:a16="http://schemas.microsoft.com/office/drawing/2014/main" id="{00000000-0008-0000-0100-0000BA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8" name="연결선: 꺾임 18557">
          <a:extLst>
            <a:ext uri="{FF2B5EF4-FFF2-40B4-BE49-F238E27FC236}">
              <a16:creationId xmlns:a16="http://schemas.microsoft.com/office/drawing/2014/main" id="{00000000-0008-0000-0100-00007E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9" name="연결선: 꺾임 18558">
          <a:extLst>
            <a:ext uri="{FF2B5EF4-FFF2-40B4-BE49-F238E27FC236}">
              <a16:creationId xmlns:a16="http://schemas.microsoft.com/office/drawing/2014/main" id="{00000000-0008-0000-0100-00007F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4" name="연결선: 꺾임 65023">
          <a:extLst>
            <a:ext uri="{FF2B5EF4-FFF2-40B4-BE49-F238E27FC236}">
              <a16:creationId xmlns:a16="http://schemas.microsoft.com/office/drawing/2014/main" id="{00000000-0008-0000-0100-000000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5" name="연결선: 꺾임 65024">
          <a:extLst>
            <a:ext uri="{FF2B5EF4-FFF2-40B4-BE49-F238E27FC236}">
              <a16:creationId xmlns:a16="http://schemas.microsoft.com/office/drawing/2014/main" id="{00000000-0008-0000-0100-000001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6" name="연결선: 꺾임 65025">
          <a:extLst>
            <a:ext uri="{FF2B5EF4-FFF2-40B4-BE49-F238E27FC236}">
              <a16:creationId xmlns:a16="http://schemas.microsoft.com/office/drawing/2014/main" id="{00000000-0008-0000-0100-000002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7" name="연결선: 꺾임 65026">
          <a:extLst>
            <a:ext uri="{FF2B5EF4-FFF2-40B4-BE49-F238E27FC236}">
              <a16:creationId xmlns:a16="http://schemas.microsoft.com/office/drawing/2014/main" id="{00000000-0008-0000-0100-000003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8" name="연결선: 꺾임 65027">
          <a:extLst>
            <a:ext uri="{FF2B5EF4-FFF2-40B4-BE49-F238E27FC236}">
              <a16:creationId xmlns:a16="http://schemas.microsoft.com/office/drawing/2014/main" id="{00000000-0008-0000-0100-000004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9" name="연결선: 꺾임 65028">
          <a:extLst>
            <a:ext uri="{FF2B5EF4-FFF2-40B4-BE49-F238E27FC236}">
              <a16:creationId xmlns:a16="http://schemas.microsoft.com/office/drawing/2014/main" id="{00000000-0008-0000-0100-000005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0" name="연결선: 꺾임 65029">
          <a:extLst>
            <a:ext uri="{FF2B5EF4-FFF2-40B4-BE49-F238E27FC236}">
              <a16:creationId xmlns:a16="http://schemas.microsoft.com/office/drawing/2014/main" id="{00000000-0008-0000-0100-000006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1" name="연결선: 꺾임 65030">
          <a:extLst>
            <a:ext uri="{FF2B5EF4-FFF2-40B4-BE49-F238E27FC236}">
              <a16:creationId xmlns:a16="http://schemas.microsoft.com/office/drawing/2014/main" id="{00000000-0008-0000-0100-000007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 name="연결선: 꺾임 1">
          <a:extLst>
            <a:ext uri="{FF2B5EF4-FFF2-40B4-BE49-F238E27FC236}">
              <a16:creationId xmlns:a16="http://schemas.microsoft.com/office/drawing/2014/main" id="{00000000-0008-0000-0100-00000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 name="연결선: 꺾임 2">
          <a:extLst>
            <a:ext uri="{FF2B5EF4-FFF2-40B4-BE49-F238E27FC236}">
              <a16:creationId xmlns:a16="http://schemas.microsoft.com/office/drawing/2014/main" id="{00000000-0008-0000-0100-00000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 name="연결선: 꺾임 3">
          <a:extLst>
            <a:ext uri="{FF2B5EF4-FFF2-40B4-BE49-F238E27FC236}">
              <a16:creationId xmlns:a16="http://schemas.microsoft.com/office/drawing/2014/main" id="{00000000-0008-0000-0100-00000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 name="연결선: 꺾임 4">
          <a:extLst>
            <a:ext uri="{FF2B5EF4-FFF2-40B4-BE49-F238E27FC236}">
              <a16:creationId xmlns:a16="http://schemas.microsoft.com/office/drawing/2014/main" id="{00000000-0008-0000-0100-00000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 name="연결선: 꺾임 5">
          <a:extLst>
            <a:ext uri="{FF2B5EF4-FFF2-40B4-BE49-F238E27FC236}">
              <a16:creationId xmlns:a16="http://schemas.microsoft.com/office/drawing/2014/main" id="{00000000-0008-0000-0100-00000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 name="연결선: 꺾임 6">
          <a:extLst>
            <a:ext uri="{FF2B5EF4-FFF2-40B4-BE49-F238E27FC236}">
              <a16:creationId xmlns:a16="http://schemas.microsoft.com/office/drawing/2014/main" id="{00000000-0008-0000-0100-00000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8" name="연결선: 꺾임 7">
          <a:extLst>
            <a:ext uri="{FF2B5EF4-FFF2-40B4-BE49-F238E27FC236}">
              <a16:creationId xmlns:a16="http://schemas.microsoft.com/office/drawing/2014/main" id="{00000000-0008-0000-0100-00000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9" name="연결선: 꺾임 8">
          <a:extLst>
            <a:ext uri="{FF2B5EF4-FFF2-40B4-BE49-F238E27FC236}">
              <a16:creationId xmlns:a16="http://schemas.microsoft.com/office/drawing/2014/main" id="{00000000-0008-0000-0100-00000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 name="연결선: 꺾임 13">
          <a:extLst>
            <a:ext uri="{FF2B5EF4-FFF2-40B4-BE49-F238E27FC236}">
              <a16:creationId xmlns:a16="http://schemas.microsoft.com/office/drawing/2014/main" id="{00000000-0008-0000-0100-00000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 name="연결선: 꺾임 14">
          <a:extLst>
            <a:ext uri="{FF2B5EF4-FFF2-40B4-BE49-F238E27FC236}">
              <a16:creationId xmlns:a16="http://schemas.microsoft.com/office/drawing/2014/main" id="{00000000-0008-0000-0100-00000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 name="연결선: 꺾임 15">
          <a:extLst>
            <a:ext uri="{FF2B5EF4-FFF2-40B4-BE49-F238E27FC236}">
              <a16:creationId xmlns:a16="http://schemas.microsoft.com/office/drawing/2014/main" id="{00000000-0008-0000-0100-00001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 name="연결선: 꺾임 25">
          <a:extLst>
            <a:ext uri="{FF2B5EF4-FFF2-40B4-BE49-F238E27FC236}">
              <a16:creationId xmlns:a16="http://schemas.microsoft.com/office/drawing/2014/main" id="{00000000-0008-0000-0100-00001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 name="연결선: 꺾임 26">
          <a:extLst>
            <a:ext uri="{FF2B5EF4-FFF2-40B4-BE49-F238E27FC236}">
              <a16:creationId xmlns:a16="http://schemas.microsoft.com/office/drawing/2014/main" id="{00000000-0008-0000-0100-00001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 name="연결선: 꺾임 27">
          <a:extLst>
            <a:ext uri="{FF2B5EF4-FFF2-40B4-BE49-F238E27FC236}">
              <a16:creationId xmlns:a16="http://schemas.microsoft.com/office/drawing/2014/main" id="{00000000-0008-0000-0100-00001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 name="연결선: 꺾임 28">
          <a:extLst>
            <a:ext uri="{FF2B5EF4-FFF2-40B4-BE49-F238E27FC236}">
              <a16:creationId xmlns:a16="http://schemas.microsoft.com/office/drawing/2014/main" id="{00000000-0008-0000-0100-00001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 name="연결선: 꺾임 29">
          <a:extLst>
            <a:ext uri="{FF2B5EF4-FFF2-40B4-BE49-F238E27FC236}">
              <a16:creationId xmlns:a16="http://schemas.microsoft.com/office/drawing/2014/main" id="{00000000-0008-0000-0100-00001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 name="연결선: 꺾임 30">
          <a:extLst>
            <a:ext uri="{FF2B5EF4-FFF2-40B4-BE49-F238E27FC236}">
              <a16:creationId xmlns:a16="http://schemas.microsoft.com/office/drawing/2014/main" id="{00000000-0008-0000-0100-00001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 name="연결선: 꺾임 31">
          <a:extLst>
            <a:ext uri="{FF2B5EF4-FFF2-40B4-BE49-F238E27FC236}">
              <a16:creationId xmlns:a16="http://schemas.microsoft.com/office/drawing/2014/main" id="{00000000-0008-0000-0100-00002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 name="연결선: 꺾임 32">
          <a:extLst>
            <a:ext uri="{FF2B5EF4-FFF2-40B4-BE49-F238E27FC236}">
              <a16:creationId xmlns:a16="http://schemas.microsoft.com/office/drawing/2014/main" id="{00000000-0008-0000-0100-00002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 name="연결선: 꺾임 37">
          <a:extLst>
            <a:ext uri="{FF2B5EF4-FFF2-40B4-BE49-F238E27FC236}">
              <a16:creationId xmlns:a16="http://schemas.microsoft.com/office/drawing/2014/main" id="{00000000-0008-0000-0100-00002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95" name="연결선: 꺾임 64694">
          <a:extLst>
            <a:ext uri="{FF2B5EF4-FFF2-40B4-BE49-F238E27FC236}">
              <a16:creationId xmlns:a16="http://schemas.microsoft.com/office/drawing/2014/main" id="{00000000-0008-0000-0100-0000B7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31" name="꺾인 연결선 18230">
          <a:extLst>
            <a:ext uri="{FF2B5EF4-FFF2-40B4-BE49-F238E27FC236}">
              <a16:creationId xmlns:a16="http://schemas.microsoft.com/office/drawing/2014/main" id="{00000000-0008-0000-0100-00003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32" name="꺾인 연결선 18231">
          <a:extLst>
            <a:ext uri="{FF2B5EF4-FFF2-40B4-BE49-F238E27FC236}">
              <a16:creationId xmlns:a16="http://schemas.microsoft.com/office/drawing/2014/main" id="{00000000-0008-0000-0100-000038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33" name="꺾인 연결선 18232">
          <a:extLst>
            <a:ext uri="{FF2B5EF4-FFF2-40B4-BE49-F238E27FC236}">
              <a16:creationId xmlns:a16="http://schemas.microsoft.com/office/drawing/2014/main" id="{00000000-0008-0000-0100-000039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34" name="꺾인 연결선 18233">
          <a:extLst>
            <a:ext uri="{FF2B5EF4-FFF2-40B4-BE49-F238E27FC236}">
              <a16:creationId xmlns:a16="http://schemas.microsoft.com/office/drawing/2014/main" id="{00000000-0008-0000-0100-00003A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35" name="꺾인 연결선 18234">
          <a:extLst>
            <a:ext uri="{FF2B5EF4-FFF2-40B4-BE49-F238E27FC236}">
              <a16:creationId xmlns:a16="http://schemas.microsoft.com/office/drawing/2014/main" id="{00000000-0008-0000-0100-00003B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296927</xdr:colOff>
      <xdr:row>3</xdr:row>
      <xdr:rowOff>76073</xdr:rowOff>
    </xdr:from>
    <xdr:to>
      <xdr:col>33</xdr:col>
      <xdr:colOff>296927</xdr:colOff>
      <xdr:row>255</xdr:row>
      <xdr:rowOff>152399</xdr:rowOff>
    </xdr:to>
    <xdr:cxnSp macro="">
      <xdr:nvCxnSpPr>
        <xdr:cNvPr id="143185" name="직선 화살표 연결선 143184">
          <a:extLst>
            <a:ext uri="{FF2B5EF4-FFF2-40B4-BE49-F238E27FC236}">
              <a16:creationId xmlns:a16="http://schemas.microsoft.com/office/drawing/2014/main" id="{00000000-0008-0000-0100-0000512F0200}"/>
            </a:ext>
          </a:extLst>
        </xdr:cNvPr>
        <xdr:cNvCxnSpPr/>
      </xdr:nvCxnSpPr>
      <xdr:spPr>
        <a:xfrm>
          <a:off x="17388587" y="815213"/>
          <a:ext cx="0" cy="38404926"/>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944143</xdr:colOff>
      <xdr:row>255</xdr:row>
      <xdr:rowOff>19049</xdr:rowOff>
    </xdr:from>
    <xdr:to>
      <xdr:col>36</xdr:col>
      <xdr:colOff>1270</xdr:colOff>
      <xdr:row>255</xdr:row>
      <xdr:rowOff>133349</xdr:rowOff>
    </xdr:to>
    <xdr:sp macro="" textlink="">
      <xdr:nvSpPr>
        <xdr:cNvPr id="143186" name="252">
          <a:extLst>
            <a:ext uri="{FF2B5EF4-FFF2-40B4-BE49-F238E27FC236}">
              <a16:creationId xmlns:a16="http://schemas.microsoft.com/office/drawing/2014/main" id="{00000000-0008-0000-0100-0000522F0200}"/>
            </a:ext>
          </a:extLst>
        </xdr:cNvPr>
        <xdr:cNvSpPr/>
      </xdr:nvSpPr>
      <xdr:spPr>
        <a:xfrm>
          <a:off x="20580883" y="39086789"/>
          <a:ext cx="32966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944143</xdr:colOff>
      <xdr:row>255</xdr:row>
      <xdr:rowOff>76199</xdr:rowOff>
    </xdr:from>
    <xdr:to>
      <xdr:col>35</xdr:col>
      <xdr:colOff>944143</xdr:colOff>
      <xdr:row>255</xdr:row>
      <xdr:rowOff>76199</xdr:rowOff>
    </xdr:to>
    <xdr:cxnSp macro="">
      <xdr:nvCxnSpPr>
        <xdr:cNvPr id="143187" name="직선 화살표 연결선 143186">
          <a:extLst>
            <a:ext uri="{FF2B5EF4-FFF2-40B4-BE49-F238E27FC236}">
              <a16:creationId xmlns:a16="http://schemas.microsoft.com/office/drawing/2014/main" id="{00000000-0008-0000-0100-0000532F0200}"/>
            </a:ext>
          </a:extLst>
        </xdr:cNvPr>
        <xdr:cNvCxnSpPr/>
      </xdr:nvCxnSpPr>
      <xdr:spPr>
        <a:xfrm>
          <a:off x="20580883" y="391439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1190440</xdr:colOff>
      <xdr:row>254</xdr:row>
      <xdr:rowOff>19049</xdr:rowOff>
    </xdr:from>
    <xdr:to>
      <xdr:col>36</xdr:col>
      <xdr:colOff>1270</xdr:colOff>
      <xdr:row>254</xdr:row>
      <xdr:rowOff>133349</xdr:rowOff>
    </xdr:to>
    <xdr:sp macro="" textlink="">
      <xdr:nvSpPr>
        <xdr:cNvPr id="143188" name="251">
          <a:extLst>
            <a:ext uri="{FF2B5EF4-FFF2-40B4-BE49-F238E27FC236}">
              <a16:creationId xmlns:a16="http://schemas.microsoft.com/office/drawing/2014/main" id="{00000000-0008-0000-0100-0000542F0200}"/>
            </a:ext>
          </a:extLst>
        </xdr:cNvPr>
        <xdr:cNvSpPr/>
      </xdr:nvSpPr>
      <xdr:spPr>
        <a:xfrm>
          <a:off x="20827180" y="38934389"/>
          <a:ext cx="833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1190440</xdr:colOff>
      <xdr:row>254</xdr:row>
      <xdr:rowOff>76199</xdr:rowOff>
    </xdr:from>
    <xdr:to>
      <xdr:col>35</xdr:col>
      <xdr:colOff>1190440</xdr:colOff>
      <xdr:row>254</xdr:row>
      <xdr:rowOff>76199</xdr:rowOff>
    </xdr:to>
    <xdr:cxnSp macro="">
      <xdr:nvCxnSpPr>
        <xdr:cNvPr id="143189" name="직선 화살표 연결선 143188">
          <a:extLst>
            <a:ext uri="{FF2B5EF4-FFF2-40B4-BE49-F238E27FC236}">
              <a16:creationId xmlns:a16="http://schemas.microsoft.com/office/drawing/2014/main" id="{00000000-0008-0000-0100-0000552F0200}"/>
            </a:ext>
          </a:extLst>
        </xdr:cNvPr>
        <xdr:cNvCxnSpPr/>
      </xdr:nvCxnSpPr>
      <xdr:spPr>
        <a:xfrm>
          <a:off x="20827180" y="389915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944143</xdr:colOff>
      <xdr:row>253</xdr:row>
      <xdr:rowOff>19049</xdr:rowOff>
    </xdr:from>
    <xdr:to>
      <xdr:col>35</xdr:col>
      <xdr:colOff>1109611</xdr:colOff>
      <xdr:row>253</xdr:row>
      <xdr:rowOff>133349</xdr:rowOff>
    </xdr:to>
    <xdr:sp macro="" textlink="">
      <xdr:nvSpPr>
        <xdr:cNvPr id="143190" name="250">
          <a:extLst>
            <a:ext uri="{FF2B5EF4-FFF2-40B4-BE49-F238E27FC236}">
              <a16:creationId xmlns:a16="http://schemas.microsoft.com/office/drawing/2014/main" id="{00000000-0008-0000-0100-0000562F0200}"/>
            </a:ext>
          </a:extLst>
        </xdr:cNvPr>
        <xdr:cNvSpPr/>
      </xdr:nvSpPr>
      <xdr:spPr>
        <a:xfrm>
          <a:off x="20580883" y="38781989"/>
          <a:ext cx="16546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944143</xdr:colOff>
      <xdr:row>253</xdr:row>
      <xdr:rowOff>76199</xdr:rowOff>
    </xdr:from>
    <xdr:to>
      <xdr:col>35</xdr:col>
      <xdr:colOff>944143</xdr:colOff>
      <xdr:row>253</xdr:row>
      <xdr:rowOff>76199</xdr:rowOff>
    </xdr:to>
    <xdr:cxnSp macro="">
      <xdr:nvCxnSpPr>
        <xdr:cNvPr id="143191" name="직선 화살표 연결선 143190">
          <a:extLst>
            <a:ext uri="{FF2B5EF4-FFF2-40B4-BE49-F238E27FC236}">
              <a16:creationId xmlns:a16="http://schemas.microsoft.com/office/drawing/2014/main" id="{00000000-0008-0000-0100-0000572F0200}"/>
            </a:ext>
          </a:extLst>
        </xdr:cNvPr>
        <xdr:cNvCxnSpPr/>
      </xdr:nvCxnSpPr>
      <xdr:spPr>
        <a:xfrm>
          <a:off x="20580883" y="388391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944143</xdr:colOff>
      <xdr:row>252</xdr:row>
      <xdr:rowOff>19049</xdr:rowOff>
    </xdr:from>
    <xdr:to>
      <xdr:col>36</xdr:col>
      <xdr:colOff>1270</xdr:colOff>
      <xdr:row>252</xdr:row>
      <xdr:rowOff>133349</xdr:rowOff>
    </xdr:to>
    <xdr:sp macro="" textlink="">
      <xdr:nvSpPr>
        <xdr:cNvPr id="143192" name="249">
          <a:extLst>
            <a:ext uri="{FF2B5EF4-FFF2-40B4-BE49-F238E27FC236}">
              <a16:creationId xmlns:a16="http://schemas.microsoft.com/office/drawing/2014/main" id="{00000000-0008-0000-0100-0000582F0200}"/>
            </a:ext>
          </a:extLst>
        </xdr:cNvPr>
        <xdr:cNvSpPr/>
      </xdr:nvSpPr>
      <xdr:spPr>
        <a:xfrm>
          <a:off x="20580883" y="38629589"/>
          <a:ext cx="32966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944143</xdr:colOff>
      <xdr:row>252</xdr:row>
      <xdr:rowOff>76199</xdr:rowOff>
    </xdr:from>
    <xdr:to>
      <xdr:col>35</xdr:col>
      <xdr:colOff>944143</xdr:colOff>
      <xdr:row>252</xdr:row>
      <xdr:rowOff>76199</xdr:rowOff>
    </xdr:to>
    <xdr:cxnSp macro="">
      <xdr:nvCxnSpPr>
        <xdr:cNvPr id="143193" name="직선 화살표 연결선 143192">
          <a:extLst>
            <a:ext uri="{FF2B5EF4-FFF2-40B4-BE49-F238E27FC236}">
              <a16:creationId xmlns:a16="http://schemas.microsoft.com/office/drawing/2014/main" id="{00000000-0008-0000-0100-0000592F0200}"/>
            </a:ext>
          </a:extLst>
        </xdr:cNvPr>
        <xdr:cNvCxnSpPr/>
      </xdr:nvCxnSpPr>
      <xdr:spPr>
        <a:xfrm>
          <a:off x="20580883" y="386867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944143</xdr:colOff>
      <xdr:row>251</xdr:row>
      <xdr:rowOff>19049</xdr:rowOff>
    </xdr:from>
    <xdr:to>
      <xdr:col>36</xdr:col>
      <xdr:colOff>1270</xdr:colOff>
      <xdr:row>251</xdr:row>
      <xdr:rowOff>133349</xdr:rowOff>
    </xdr:to>
    <xdr:sp macro="" textlink="">
      <xdr:nvSpPr>
        <xdr:cNvPr id="143194" name="248">
          <a:extLst>
            <a:ext uri="{FF2B5EF4-FFF2-40B4-BE49-F238E27FC236}">
              <a16:creationId xmlns:a16="http://schemas.microsoft.com/office/drawing/2014/main" id="{00000000-0008-0000-0100-00005A2F0200}"/>
            </a:ext>
          </a:extLst>
        </xdr:cNvPr>
        <xdr:cNvSpPr/>
      </xdr:nvSpPr>
      <xdr:spPr>
        <a:xfrm>
          <a:off x="20580883" y="38477189"/>
          <a:ext cx="32966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944143</xdr:colOff>
      <xdr:row>251</xdr:row>
      <xdr:rowOff>76199</xdr:rowOff>
    </xdr:from>
    <xdr:to>
      <xdr:col>35</xdr:col>
      <xdr:colOff>944143</xdr:colOff>
      <xdr:row>251</xdr:row>
      <xdr:rowOff>76199</xdr:rowOff>
    </xdr:to>
    <xdr:cxnSp macro="">
      <xdr:nvCxnSpPr>
        <xdr:cNvPr id="143195" name="직선 화살표 연결선 143194">
          <a:extLst>
            <a:ext uri="{FF2B5EF4-FFF2-40B4-BE49-F238E27FC236}">
              <a16:creationId xmlns:a16="http://schemas.microsoft.com/office/drawing/2014/main" id="{00000000-0008-0000-0100-00005B2F0200}"/>
            </a:ext>
          </a:extLst>
        </xdr:cNvPr>
        <xdr:cNvCxnSpPr/>
      </xdr:nvCxnSpPr>
      <xdr:spPr>
        <a:xfrm>
          <a:off x="20580883" y="385343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697845</xdr:colOff>
      <xdr:row>250</xdr:row>
      <xdr:rowOff>19049</xdr:rowOff>
    </xdr:from>
    <xdr:to>
      <xdr:col>35</xdr:col>
      <xdr:colOff>945413</xdr:colOff>
      <xdr:row>250</xdr:row>
      <xdr:rowOff>133349</xdr:rowOff>
    </xdr:to>
    <xdr:sp macro="" textlink="">
      <xdr:nvSpPr>
        <xdr:cNvPr id="143196" name="247">
          <a:extLst>
            <a:ext uri="{FF2B5EF4-FFF2-40B4-BE49-F238E27FC236}">
              <a16:creationId xmlns:a16="http://schemas.microsoft.com/office/drawing/2014/main" id="{00000000-0008-0000-0100-00005C2F0200}"/>
            </a:ext>
          </a:extLst>
        </xdr:cNvPr>
        <xdr:cNvSpPr/>
      </xdr:nvSpPr>
      <xdr:spPr>
        <a:xfrm>
          <a:off x="20334585" y="38324789"/>
          <a:ext cx="24756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697845</xdr:colOff>
      <xdr:row>250</xdr:row>
      <xdr:rowOff>76199</xdr:rowOff>
    </xdr:from>
    <xdr:to>
      <xdr:col>35</xdr:col>
      <xdr:colOff>697845</xdr:colOff>
      <xdr:row>250</xdr:row>
      <xdr:rowOff>76199</xdr:rowOff>
    </xdr:to>
    <xdr:cxnSp macro="">
      <xdr:nvCxnSpPr>
        <xdr:cNvPr id="143197" name="직선 화살표 연결선 143196">
          <a:extLst>
            <a:ext uri="{FF2B5EF4-FFF2-40B4-BE49-F238E27FC236}">
              <a16:creationId xmlns:a16="http://schemas.microsoft.com/office/drawing/2014/main" id="{00000000-0008-0000-0100-00005D2F0200}"/>
            </a:ext>
          </a:extLst>
        </xdr:cNvPr>
        <xdr:cNvCxnSpPr/>
      </xdr:nvCxnSpPr>
      <xdr:spPr>
        <a:xfrm>
          <a:off x="20334585" y="383819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615745</xdr:colOff>
      <xdr:row>249</xdr:row>
      <xdr:rowOff>19049</xdr:rowOff>
    </xdr:from>
    <xdr:to>
      <xdr:col>35</xdr:col>
      <xdr:colOff>699115</xdr:colOff>
      <xdr:row>249</xdr:row>
      <xdr:rowOff>133349</xdr:rowOff>
    </xdr:to>
    <xdr:sp macro="" textlink="">
      <xdr:nvSpPr>
        <xdr:cNvPr id="143198" name="246">
          <a:extLst>
            <a:ext uri="{FF2B5EF4-FFF2-40B4-BE49-F238E27FC236}">
              <a16:creationId xmlns:a16="http://schemas.microsoft.com/office/drawing/2014/main" id="{00000000-0008-0000-0100-00005E2F0200}"/>
            </a:ext>
          </a:extLst>
        </xdr:cNvPr>
        <xdr:cNvSpPr/>
      </xdr:nvSpPr>
      <xdr:spPr>
        <a:xfrm>
          <a:off x="20252485" y="38172389"/>
          <a:ext cx="833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615745</xdr:colOff>
      <xdr:row>249</xdr:row>
      <xdr:rowOff>76199</xdr:rowOff>
    </xdr:from>
    <xdr:to>
      <xdr:col>35</xdr:col>
      <xdr:colOff>615745</xdr:colOff>
      <xdr:row>249</xdr:row>
      <xdr:rowOff>76199</xdr:rowOff>
    </xdr:to>
    <xdr:cxnSp macro="">
      <xdr:nvCxnSpPr>
        <xdr:cNvPr id="143199" name="직선 화살표 연결선 143198">
          <a:extLst>
            <a:ext uri="{FF2B5EF4-FFF2-40B4-BE49-F238E27FC236}">
              <a16:creationId xmlns:a16="http://schemas.microsoft.com/office/drawing/2014/main" id="{00000000-0008-0000-0100-00005F2F0200}"/>
            </a:ext>
          </a:extLst>
        </xdr:cNvPr>
        <xdr:cNvCxnSpPr/>
      </xdr:nvCxnSpPr>
      <xdr:spPr>
        <a:xfrm>
          <a:off x="20252485" y="382295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615745</xdr:colOff>
      <xdr:row>248</xdr:row>
      <xdr:rowOff>19049</xdr:rowOff>
    </xdr:from>
    <xdr:to>
      <xdr:col>35</xdr:col>
      <xdr:colOff>945413</xdr:colOff>
      <xdr:row>248</xdr:row>
      <xdr:rowOff>133349</xdr:rowOff>
    </xdr:to>
    <xdr:sp macro="" textlink="">
      <xdr:nvSpPr>
        <xdr:cNvPr id="143200" name="245">
          <a:extLst>
            <a:ext uri="{FF2B5EF4-FFF2-40B4-BE49-F238E27FC236}">
              <a16:creationId xmlns:a16="http://schemas.microsoft.com/office/drawing/2014/main" id="{00000000-0008-0000-0100-0000602F0200}"/>
            </a:ext>
          </a:extLst>
        </xdr:cNvPr>
        <xdr:cNvSpPr/>
      </xdr:nvSpPr>
      <xdr:spPr>
        <a:xfrm>
          <a:off x="20252485" y="38019989"/>
          <a:ext cx="32966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615745</xdr:colOff>
      <xdr:row>248</xdr:row>
      <xdr:rowOff>76199</xdr:rowOff>
    </xdr:from>
    <xdr:to>
      <xdr:col>35</xdr:col>
      <xdr:colOff>615745</xdr:colOff>
      <xdr:row>248</xdr:row>
      <xdr:rowOff>76199</xdr:rowOff>
    </xdr:to>
    <xdr:cxnSp macro="">
      <xdr:nvCxnSpPr>
        <xdr:cNvPr id="143201" name="직선 화살표 연결선 143200">
          <a:extLst>
            <a:ext uri="{FF2B5EF4-FFF2-40B4-BE49-F238E27FC236}">
              <a16:creationId xmlns:a16="http://schemas.microsoft.com/office/drawing/2014/main" id="{00000000-0008-0000-0100-0000612F0200}"/>
            </a:ext>
          </a:extLst>
        </xdr:cNvPr>
        <xdr:cNvCxnSpPr/>
      </xdr:nvCxnSpPr>
      <xdr:spPr>
        <a:xfrm>
          <a:off x="20252485" y="380771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164199</xdr:colOff>
      <xdr:row>247</xdr:row>
      <xdr:rowOff>19049</xdr:rowOff>
    </xdr:from>
    <xdr:to>
      <xdr:col>35</xdr:col>
      <xdr:colOff>534916</xdr:colOff>
      <xdr:row>247</xdr:row>
      <xdr:rowOff>133349</xdr:rowOff>
    </xdr:to>
    <xdr:sp macro="" textlink="">
      <xdr:nvSpPr>
        <xdr:cNvPr id="143202" name="244">
          <a:extLst>
            <a:ext uri="{FF2B5EF4-FFF2-40B4-BE49-F238E27FC236}">
              <a16:creationId xmlns:a16="http://schemas.microsoft.com/office/drawing/2014/main" id="{00000000-0008-0000-0100-0000622F0200}"/>
            </a:ext>
          </a:extLst>
        </xdr:cNvPr>
        <xdr:cNvSpPr/>
      </xdr:nvSpPr>
      <xdr:spPr>
        <a:xfrm>
          <a:off x="19800939" y="37867589"/>
          <a:ext cx="37071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164199</xdr:colOff>
      <xdr:row>247</xdr:row>
      <xdr:rowOff>76199</xdr:rowOff>
    </xdr:from>
    <xdr:to>
      <xdr:col>35</xdr:col>
      <xdr:colOff>164199</xdr:colOff>
      <xdr:row>247</xdr:row>
      <xdr:rowOff>76199</xdr:rowOff>
    </xdr:to>
    <xdr:cxnSp macro="">
      <xdr:nvCxnSpPr>
        <xdr:cNvPr id="143203" name="직선 화살표 연결선 143202">
          <a:extLst>
            <a:ext uri="{FF2B5EF4-FFF2-40B4-BE49-F238E27FC236}">
              <a16:creationId xmlns:a16="http://schemas.microsoft.com/office/drawing/2014/main" id="{00000000-0008-0000-0100-0000632F0200}"/>
            </a:ext>
          </a:extLst>
        </xdr:cNvPr>
        <xdr:cNvCxnSpPr/>
      </xdr:nvCxnSpPr>
      <xdr:spPr>
        <a:xfrm>
          <a:off x="19800939" y="379247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41050</xdr:colOff>
      <xdr:row>246</xdr:row>
      <xdr:rowOff>19049</xdr:rowOff>
    </xdr:from>
    <xdr:to>
      <xdr:col>35</xdr:col>
      <xdr:colOff>165468</xdr:colOff>
      <xdr:row>246</xdr:row>
      <xdr:rowOff>133349</xdr:rowOff>
    </xdr:to>
    <xdr:sp macro="" textlink="">
      <xdr:nvSpPr>
        <xdr:cNvPr id="143204" name="243">
          <a:extLst>
            <a:ext uri="{FF2B5EF4-FFF2-40B4-BE49-F238E27FC236}">
              <a16:creationId xmlns:a16="http://schemas.microsoft.com/office/drawing/2014/main" id="{00000000-0008-0000-0100-0000642F0200}"/>
            </a:ext>
          </a:extLst>
        </xdr:cNvPr>
        <xdr:cNvSpPr/>
      </xdr:nvSpPr>
      <xdr:spPr>
        <a:xfrm>
          <a:off x="19677790" y="37715189"/>
          <a:ext cx="12441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41050</xdr:colOff>
      <xdr:row>246</xdr:row>
      <xdr:rowOff>76199</xdr:rowOff>
    </xdr:from>
    <xdr:to>
      <xdr:col>35</xdr:col>
      <xdr:colOff>41050</xdr:colOff>
      <xdr:row>246</xdr:row>
      <xdr:rowOff>76199</xdr:rowOff>
    </xdr:to>
    <xdr:cxnSp macro="">
      <xdr:nvCxnSpPr>
        <xdr:cNvPr id="143205" name="직선 화살표 연결선 143204">
          <a:extLst>
            <a:ext uri="{FF2B5EF4-FFF2-40B4-BE49-F238E27FC236}">
              <a16:creationId xmlns:a16="http://schemas.microsoft.com/office/drawing/2014/main" id="{00000000-0008-0000-0100-0000652F0200}"/>
            </a:ext>
          </a:extLst>
        </xdr:cNvPr>
        <xdr:cNvCxnSpPr/>
      </xdr:nvCxnSpPr>
      <xdr:spPr>
        <a:xfrm>
          <a:off x="19677790" y="377723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41050</xdr:colOff>
      <xdr:row>245</xdr:row>
      <xdr:rowOff>19049</xdr:rowOff>
    </xdr:from>
    <xdr:to>
      <xdr:col>35</xdr:col>
      <xdr:colOff>534916</xdr:colOff>
      <xdr:row>245</xdr:row>
      <xdr:rowOff>133349</xdr:rowOff>
    </xdr:to>
    <xdr:sp macro="" textlink="">
      <xdr:nvSpPr>
        <xdr:cNvPr id="143206" name="242">
          <a:extLst>
            <a:ext uri="{FF2B5EF4-FFF2-40B4-BE49-F238E27FC236}">
              <a16:creationId xmlns:a16="http://schemas.microsoft.com/office/drawing/2014/main" id="{00000000-0008-0000-0100-0000662F0200}"/>
            </a:ext>
          </a:extLst>
        </xdr:cNvPr>
        <xdr:cNvSpPr/>
      </xdr:nvSpPr>
      <xdr:spPr>
        <a:xfrm>
          <a:off x="19677790" y="37562789"/>
          <a:ext cx="4938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41050</xdr:colOff>
      <xdr:row>245</xdr:row>
      <xdr:rowOff>76199</xdr:rowOff>
    </xdr:from>
    <xdr:to>
      <xdr:col>35</xdr:col>
      <xdr:colOff>41050</xdr:colOff>
      <xdr:row>245</xdr:row>
      <xdr:rowOff>76199</xdr:rowOff>
    </xdr:to>
    <xdr:cxnSp macro="">
      <xdr:nvCxnSpPr>
        <xdr:cNvPr id="143207" name="직선 화살표 연결선 143206">
          <a:extLst>
            <a:ext uri="{FF2B5EF4-FFF2-40B4-BE49-F238E27FC236}">
              <a16:creationId xmlns:a16="http://schemas.microsoft.com/office/drawing/2014/main" id="{00000000-0008-0000-0100-0000672F0200}"/>
            </a:ext>
          </a:extLst>
        </xdr:cNvPr>
        <xdr:cNvCxnSpPr/>
      </xdr:nvCxnSpPr>
      <xdr:spPr>
        <a:xfrm>
          <a:off x="19677790" y="376199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41050</xdr:colOff>
      <xdr:row>244</xdr:row>
      <xdr:rowOff>19049</xdr:rowOff>
    </xdr:from>
    <xdr:to>
      <xdr:col>35</xdr:col>
      <xdr:colOff>945413</xdr:colOff>
      <xdr:row>244</xdr:row>
      <xdr:rowOff>133349</xdr:rowOff>
    </xdr:to>
    <xdr:sp macro="" textlink="">
      <xdr:nvSpPr>
        <xdr:cNvPr id="143208" name="241">
          <a:extLst>
            <a:ext uri="{FF2B5EF4-FFF2-40B4-BE49-F238E27FC236}">
              <a16:creationId xmlns:a16="http://schemas.microsoft.com/office/drawing/2014/main" id="{00000000-0008-0000-0100-0000682F0200}"/>
            </a:ext>
          </a:extLst>
        </xdr:cNvPr>
        <xdr:cNvSpPr/>
      </xdr:nvSpPr>
      <xdr:spPr>
        <a:xfrm>
          <a:off x="19677790" y="37410389"/>
          <a:ext cx="90436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41050</xdr:colOff>
      <xdr:row>244</xdr:row>
      <xdr:rowOff>76199</xdr:rowOff>
    </xdr:from>
    <xdr:to>
      <xdr:col>35</xdr:col>
      <xdr:colOff>41050</xdr:colOff>
      <xdr:row>244</xdr:row>
      <xdr:rowOff>76199</xdr:rowOff>
    </xdr:to>
    <xdr:cxnSp macro="">
      <xdr:nvCxnSpPr>
        <xdr:cNvPr id="143209" name="직선 화살표 연결선 143208">
          <a:extLst>
            <a:ext uri="{FF2B5EF4-FFF2-40B4-BE49-F238E27FC236}">
              <a16:creationId xmlns:a16="http://schemas.microsoft.com/office/drawing/2014/main" id="{00000000-0008-0000-0100-0000692F0200}"/>
            </a:ext>
          </a:extLst>
        </xdr:cNvPr>
        <xdr:cNvCxnSpPr/>
      </xdr:nvCxnSpPr>
      <xdr:spPr>
        <a:xfrm>
          <a:off x="19677790" y="374675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1149390</xdr:colOff>
      <xdr:row>243</xdr:row>
      <xdr:rowOff>19049</xdr:rowOff>
    </xdr:from>
    <xdr:to>
      <xdr:col>34</xdr:col>
      <xdr:colOff>1232760</xdr:colOff>
      <xdr:row>243</xdr:row>
      <xdr:rowOff>133349</xdr:rowOff>
    </xdr:to>
    <xdr:sp macro="" textlink="">
      <xdr:nvSpPr>
        <xdr:cNvPr id="143210" name="240">
          <a:extLst>
            <a:ext uri="{FF2B5EF4-FFF2-40B4-BE49-F238E27FC236}">
              <a16:creationId xmlns:a16="http://schemas.microsoft.com/office/drawing/2014/main" id="{00000000-0008-0000-0100-00006A2F0200}"/>
            </a:ext>
          </a:extLst>
        </xdr:cNvPr>
        <xdr:cNvSpPr/>
      </xdr:nvSpPr>
      <xdr:spPr>
        <a:xfrm>
          <a:off x="19513590" y="37257989"/>
          <a:ext cx="833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1149390</xdr:colOff>
      <xdr:row>243</xdr:row>
      <xdr:rowOff>76199</xdr:rowOff>
    </xdr:from>
    <xdr:to>
      <xdr:col>34</xdr:col>
      <xdr:colOff>1149390</xdr:colOff>
      <xdr:row>243</xdr:row>
      <xdr:rowOff>76199</xdr:rowOff>
    </xdr:to>
    <xdr:cxnSp macro="">
      <xdr:nvCxnSpPr>
        <xdr:cNvPr id="143211" name="직선 화살표 연결선 143210">
          <a:extLst>
            <a:ext uri="{FF2B5EF4-FFF2-40B4-BE49-F238E27FC236}">
              <a16:creationId xmlns:a16="http://schemas.microsoft.com/office/drawing/2014/main" id="{00000000-0008-0000-0100-00006B2F0200}"/>
            </a:ext>
          </a:extLst>
        </xdr:cNvPr>
        <xdr:cNvCxnSpPr/>
      </xdr:nvCxnSpPr>
      <xdr:spPr>
        <a:xfrm>
          <a:off x="19513590" y="373151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1067291</xdr:colOff>
      <xdr:row>242</xdr:row>
      <xdr:rowOff>19049</xdr:rowOff>
    </xdr:from>
    <xdr:to>
      <xdr:col>34</xdr:col>
      <xdr:colOff>1150660</xdr:colOff>
      <xdr:row>242</xdr:row>
      <xdr:rowOff>133349</xdr:rowOff>
    </xdr:to>
    <xdr:sp macro="" textlink="">
      <xdr:nvSpPr>
        <xdr:cNvPr id="143212" name="239">
          <a:extLst>
            <a:ext uri="{FF2B5EF4-FFF2-40B4-BE49-F238E27FC236}">
              <a16:creationId xmlns:a16="http://schemas.microsoft.com/office/drawing/2014/main" id="{00000000-0008-0000-0100-00006C2F0200}"/>
            </a:ext>
          </a:extLst>
        </xdr:cNvPr>
        <xdr:cNvSpPr/>
      </xdr:nvSpPr>
      <xdr:spPr>
        <a:xfrm>
          <a:off x="19431491" y="37105589"/>
          <a:ext cx="8336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1067291</xdr:colOff>
      <xdr:row>242</xdr:row>
      <xdr:rowOff>76199</xdr:rowOff>
    </xdr:from>
    <xdr:to>
      <xdr:col>34</xdr:col>
      <xdr:colOff>1067291</xdr:colOff>
      <xdr:row>242</xdr:row>
      <xdr:rowOff>76199</xdr:rowOff>
    </xdr:to>
    <xdr:cxnSp macro="">
      <xdr:nvCxnSpPr>
        <xdr:cNvPr id="143213" name="직선 화살표 연결선 143212">
          <a:extLst>
            <a:ext uri="{FF2B5EF4-FFF2-40B4-BE49-F238E27FC236}">
              <a16:creationId xmlns:a16="http://schemas.microsoft.com/office/drawing/2014/main" id="{00000000-0008-0000-0100-00006D2F0200}"/>
            </a:ext>
          </a:extLst>
        </xdr:cNvPr>
        <xdr:cNvCxnSpPr/>
      </xdr:nvCxnSpPr>
      <xdr:spPr>
        <a:xfrm>
          <a:off x="19431491" y="371627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1067291</xdr:colOff>
      <xdr:row>241</xdr:row>
      <xdr:rowOff>19049</xdr:rowOff>
    </xdr:from>
    <xdr:to>
      <xdr:col>34</xdr:col>
      <xdr:colOff>1232760</xdr:colOff>
      <xdr:row>241</xdr:row>
      <xdr:rowOff>133349</xdr:rowOff>
    </xdr:to>
    <xdr:sp macro="" textlink="">
      <xdr:nvSpPr>
        <xdr:cNvPr id="143214" name="238">
          <a:extLst>
            <a:ext uri="{FF2B5EF4-FFF2-40B4-BE49-F238E27FC236}">
              <a16:creationId xmlns:a16="http://schemas.microsoft.com/office/drawing/2014/main" id="{00000000-0008-0000-0100-00006E2F0200}"/>
            </a:ext>
          </a:extLst>
        </xdr:cNvPr>
        <xdr:cNvSpPr/>
      </xdr:nvSpPr>
      <xdr:spPr>
        <a:xfrm>
          <a:off x="19431491" y="36953189"/>
          <a:ext cx="16546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1067291</xdr:colOff>
      <xdr:row>241</xdr:row>
      <xdr:rowOff>76199</xdr:rowOff>
    </xdr:from>
    <xdr:to>
      <xdr:col>34</xdr:col>
      <xdr:colOff>1067291</xdr:colOff>
      <xdr:row>241</xdr:row>
      <xdr:rowOff>76199</xdr:rowOff>
    </xdr:to>
    <xdr:cxnSp macro="">
      <xdr:nvCxnSpPr>
        <xdr:cNvPr id="143215" name="직선 화살표 연결선 143214">
          <a:extLst>
            <a:ext uri="{FF2B5EF4-FFF2-40B4-BE49-F238E27FC236}">
              <a16:creationId xmlns:a16="http://schemas.microsoft.com/office/drawing/2014/main" id="{00000000-0008-0000-0100-00006F2F0200}"/>
            </a:ext>
          </a:extLst>
        </xdr:cNvPr>
        <xdr:cNvCxnSpPr/>
      </xdr:nvCxnSpPr>
      <xdr:spPr>
        <a:xfrm>
          <a:off x="19431491" y="370103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574695</xdr:colOff>
      <xdr:row>240</xdr:row>
      <xdr:rowOff>19049</xdr:rowOff>
    </xdr:from>
    <xdr:to>
      <xdr:col>34</xdr:col>
      <xdr:colOff>945412</xdr:colOff>
      <xdr:row>240</xdr:row>
      <xdr:rowOff>133349</xdr:rowOff>
    </xdr:to>
    <xdr:sp macro="" textlink="">
      <xdr:nvSpPr>
        <xdr:cNvPr id="143216" name="237">
          <a:extLst>
            <a:ext uri="{FF2B5EF4-FFF2-40B4-BE49-F238E27FC236}">
              <a16:creationId xmlns:a16="http://schemas.microsoft.com/office/drawing/2014/main" id="{00000000-0008-0000-0100-0000702F0200}"/>
            </a:ext>
          </a:extLst>
        </xdr:cNvPr>
        <xdr:cNvSpPr/>
      </xdr:nvSpPr>
      <xdr:spPr>
        <a:xfrm>
          <a:off x="18938895" y="36800789"/>
          <a:ext cx="37071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574695</xdr:colOff>
      <xdr:row>240</xdr:row>
      <xdr:rowOff>76199</xdr:rowOff>
    </xdr:from>
    <xdr:to>
      <xdr:col>34</xdr:col>
      <xdr:colOff>574695</xdr:colOff>
      <xdr:row>240</xdr:row>
      <xdr:rowOff>76199</xdr:rowOff>
    </xdr:to>
    <xdr:cxnSp macro="">
      <xdr:nvCxnSpPr>
        <xdr:cNvPr id="143217" name="직선 화살표 연결선 143216">
          <a:extLst>
            <a:ext uri="{FF2B5EF4-FFF2-40B4-BE49-F238E27FC236}">
              <a16:creationId xmlns:a16="http://schemas.microsoft.com/office/drawing/2014/main" id="{00000000-0008-0000-0100-0000712F0200}"/>
            </a:ext>
          </a:extLst>
        </xdr:cNvPr>
        <xdr:cNvCxnSpPr/>
      </xdr:nvCxnSpPr>
      <xdr:spPr>
        <a:xfrm>
          <a:off x="18938895" y="368579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239</xdr:row>
      <xdr:rowOff>19049</xdr:rowOff>
    </xdr:from>
    <xdr:to>
      <xdr:col>34</xdr:col>
      <xdr:colOff>575965</xdr:colOff>
      <xdr:row>239</xdr:row>
      <xdr:rowOff>133349</xdr:rowOff>
    </xdr:to>
    <xdr:sp macro="" textlink="">
      <xdr:nvSpPr>
        <xdr:cNvPr id="143218" name="236">
          <a:extLst>
            <a:ext uri="{FF2B5EF4-FFF2-40B4-BE49-F238E27FC236}">
              <a16:creationId xmlns:a16="http://schemas.microsoft.com/office/drawing/2014/main" id="{00000000-0008-0000-0100-0000722F0200}"/>
            </a:ext>
          </a:extLst>
        </xdr:cNvPr>
        <xdr:cNvSpPr/>
      </xdr:nvSpPr>
      <xdr:spPr>
        <a:xfrm>
          <a:off x="18364200" y="36648389"/>
          <a:ext cx="5759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0</xdr:colOff>
      <xdr:row>239</xdr:row>
      <xdr:rowOff>76199</xdr:rowOff>
    </xdr:from>
    <xdr:to>
      <xdr:col>34</xdr:col>
      <xdr:colOff>0</xdr:colOff>
      <xdr:row>239</xdr:row>
      <xdr:rowOff>76199</xdr:rowOff>
    </xdr:to>
    <xdr:cxnSp macro="">
      <xdr:nvCxnSpPr>
        <xdr:cNvPr id="143219" name="직선 화살표 연결선 143218">
          <a:extLst>
            <a:ext uri="{FF2B5EF4-FFF2-40B4-BE49-F238E27FC236}">
              <a16:creationId xmlns:a16="http://schemas.microsoft.com/office/drawing/2014/main" id="{00000000-0008-0000-0100-0000732F0200}"/>
            </a:ext>
          </a:extLst>
        </xdr:cNvPr>
        <xdr:cNvCxnSpPr/>
      </xdr:nvCxnSpPr>
      <xdr:spPr>
        <a:xfrm>
          <a:off x="18364200" y="367055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1230122</xdr:colOff>
      <xdr:row>238</xdr:row>
      <xdr:rowOff>19049</xdr:rowOff>
    </xdr:from>
    <xdr:to>
      <xdr:col>34</xdr:col>
      <xdr:colOff>1270</xdr:colOff>
      <xdr:row>238</xdr:row>
      <xdr:rowOff>133349</xdr:rowOff>
    </xdr:to>
    <xdr:sp macro="" textlink="">
      <xdr:nvSpPr>
        <xdr:cNvPr id="143220" name="235">
          <a:extLst>
            <a:ext uri="{FF2B5EF4-FFF2-40B4-BE49-F238E27FC236}">
              <a16:creationId xmlns:a16="http://schemas.microsoft.com/office/drawing/2014/main" id="{00000000-0008-0000-0100-0000742F0200}"/>
            </a:ext>
          </a:extLst>
        </xdr:cNvPr>
        <xdr:cNvSpPr/>
      </xdr:nvSpPr>
      <xdr:spPr>
        <a:xfrm>
          <a:off x="18321782" y="36495989"/>
          <a:ext cx="4368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1230122</xdr:colOff>
      <xdr:row>238</xdr:row>
      <xdr:rowOff>76199</xdr:rowOff>
    </xdr:from>
    <xdr:to>
      <xdr:col>33</xdr:col>
      <xdr:colOff>1230122</xdr:colOff>
      <xdr:row>238</xdr:row>
      <xdr:rowOff>76199</xdr:rowOff>
    </xdr:to>
    <xdr:cxnSp macro="">
      <xdr:nvCxnSpPr>
        <xdr:cNvPr id="143221" name="직선 화살표 연결선 143220">
          <a:extLst>
            <a:ext uri="{FF2B5EF4-FFF2-40B4-BE49-F238E27FC236}">
              <a16:creationId xmlns:a16="http://schemas.microsoft.com/office/drawing/2014/main" id="{00000000-0008-0000-0100-0000752F0200}"/>
            </a:ext>
          </a:extLst>
        </xdr:cNvPr>
        <xdr:cNvCxnSpPr/>
      </xdr:nvCxnSpPr>
      <xdr:spPr>
        <a:xfrm>
          <a:off x="18321782" y="365531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1018032</xdr:colOff>
      <xdr:row>237</xdr:row>
      <xdr:rowOff>19049</xdr:rowOff>
    </xdr:from>
    <xdr:to>
      <xdr:col>33</xdr:col>
      <xdr:colOff>1231392</xdr:colOff>
      <xdr:row>237</xdr:row>
      <xdr:rowOff>133349</xdr:rowOff>
    </xdr:to>
    <xdr:sp macro="" textlink="">
      <xdr:nvSpPr>
        <xdr:cNvPr id="143222" name="234">
          <a:extLst>
            <a:ext uri="{FF2B5EF4-FFF2-40B4-BE49-F238E27FC236}">
              <a16:creationId xmlns:a16="http://schemas.microsoft.com/office/drawing/2014/main" id="{00000000-0008-0000-0100-0000762F0200}"/>
            </a:ext>
          </a:extLst>
        </xdr:cNvPr>
        <xdr:cNvSpPr/>
      </xdr:nvSpPr>
      <xdr:spPr>
        <a:xfrm>
          <a:off x="18109692" y="36343589"/>
          <a:ext cx="2133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1018032</xdr:colOff>
      <xdr:row>237</xdr:row>
      <xdr:rowOff>76199</xdr:rowOff>
    </xdr:from>
    <xdr:to>
      <xdr:col>33</xdr:col>
      <xdr:colOff>1018032</xdr:colOff>
      <xdr:row>237</xdr:row>
      <xdr:rowOff>76199</xdr:rowOff>
    </xdr:to>
    <xdr:cxnSp macro="">
      <xdr:nvCxnSpPr>
        <xdr:cNvPr id="143223" name="직선 화살표 연결선 143222">
          <a:extLst>
            <a:ext uri="{FF2B5EF4-FFF2-40B4-BE49-F238E27FC236}">
              <a16:creationId xmlns:a16="http://schemas.microsoft.com/office/drawing/2014/main" id="{00000000-0008-0000-0100-0000772F0200}"/>
            </a:ext>
          </a:extLst>
        </xdr:cNvPr>
        <xdr:cNvCxnSpPr/>
      </xdr:nvCxnSpPr>
      <xdr:spPr>
        <a:xfrm>
          <a:off x="18109692" y="364007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1018032</xdr:colOff>
      <xdr:row>236</xdr:row>
      <xdr:rowOff>19049</xdr:rowOff>
    </xdr:from>
    <xdr:to>
      <xdr:col>34</xdr:col>
      <xdr:colOff>945412</xdr:colOff>
      <xdr:row>236</xdr:row>
      <xdr:rowOff>133349</xdr:rowOff>
    </xdr:to>
    <xdr:sp macro="" textlink="">
      <xdr:nvSpPr>
        <xdr:cNvPr id="143224" name="233">
          <a:extLst>
            <a:ext uri="{FF2B5EF4-FFF2-40B4-BE49-F238E27FC236}">
              <a16:creationId xmlns:a16="http://schemas.microsoft.com/office/drawing/2014/main" id="{00000000-0008-0000-0100-0000782F0200}"/>
            </a:ext>
          </a:extLst>
        </xdr:cNvPr>
        <xdr:cNvSpPr/>
      </xdr:nvSpPr>
      <xdr:spPr>
        <a:xfrm>
          <a:off x="18109692" y="36191189"/>
          <a:ext cx="11999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1018032</xdr:colOff>
      <xdr:row>236</xdr:row>
      <xdr:rowOff>76199</xdr:rowOff>
    </xdr:from>
    <xdr:to>
      <xdr:col>33</xdr:col>
      <xdr:colOff>1018032</xdr:colOff>
      <xdr:row>236</xdr:row>
      <xdr:rowOff>76199</xdr:rowOff>
    </xdr:to>
    <xdr:cxnSp macro="">
      <xdr:nvCxnSpPr>
        <xdr:cNvPr id="143225" name="직선 화살표 연결선 143224">
          <a:extLst>
            <a:ext uri="{FF2B5EF4-FFF2-40B4-BE49-F238E27FC236}">
              <a16:creationId xmlns:a16="http://schemas.microsoft.com/office/drawing/2014/main" id="{00000000-0008-0000-0100-0000792F0200}"/>
            </a:ext>
          </a:extLst>
        </xdr:cNvPr>
        <xdr:cNvCxnSpPr/>
      </xdr:nvCxnSpPr>
      <xdr:spPr>
        <a:xfrm>
          <a:off x="18109692" y="362483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1018032</xdr:colOff>
      <xdr:row>235</xdr:row>
      <xdr:rowOff>19049</xdr:rowOff>
    </xdr:from>
    <xdr:to>
      <xdr:col>34</xdr:col>
      <xdr:colOff>1232760</xdr:colOff>
      <xdr:row>235</xdr:row>
      <xdr:rowOff>133349</xdr:rowOff>
    </xdr:to>
    <xdr:sp macro="" textlink="">
      <xdr:nvSpPr>
        <xdr:cNvPr id="143226" name="232">
          <a:extLst>
            <a:ext uri="{FF2B5EF4-FFF2-40B4-BE49-F238E27FC236}">
              <a16:creationId xmlns:a16="http://schemas.microsoft.com/office/drawing/2014/main" id="{00000000-0008-0000-0100-00007A2F0200}"/>
            </a:ext>
          </a:extLst>
        </xdr:cNvPr>
        <xdr:cNvSpPr/>
      </xdr:nvSpPr>
      <xdr:spPr>
        <a:xfrm>
          <a:off x="18109692" y="36038789"/>
          <a:ext cx="148726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1018032</xdr:colOff>
      <xdr:row>235</xdr:row>
      <xdr:rowOff>76199</xdr:rowOff>
    </xdr:from>
    <xdr:to>
      <xdr:col>33</xdr:col>
      <xdr:colOff>1018032</xdr:colOff>
      <xdr:row>235</xdr:row>
      <xdr:rowOff>76199</xdr:rowOff>
    </xdr:to>
    <xdr:cxnSp macro="">
      <xdr:nvCxnSpPr>
        <xdr:cNvPr id="143227" name="직선 화살표 연결선 143226">
          <a:extLst>
            <a:ext uri="{FF2B5EF4-FFF2-40B4-BE49-F238E27FC236}">
              <a16:creationId xmlns:a16="http://schemas.microsoft.com/office/drawing/2014/main" id="{00000000-0008-0000-0100-00007B2F0200}"/>
            </a:ext>
          </a:extLst>
        </xdr:cNvPr>
        <xdr:cNvCxnSpPr/>
      </xdr:nvCxnSpPr>
      <xdr:spPr>
        <a:xfrm>
          <a:off x="18109692" y="360959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933196</xdr:colOff>
      <xdr:row>234</xdr:row>
      <xdr:rowOff>19049</xdr:rowOff>
    </xdr:from>
    <xdr:to>
      <xdr:col>33</xdr:col>
      <xdr:colOff>1019301</xdr:colOff>
      <xdr:row>234</xdr:row>
      <xdr:rowOff>133349</xdr:rowOff>
    </xdr:to>
    <xdr:sp macro="" textlink="">
      <xdr:nvSpPr>
        <xdr:cNvPr id="143228" name="231">
          <a:extLst>
            <a:ext uri="{FF2B5EF4-FFF2-40B4-BE49-F238E27FC236}">
              <a16:creationId xmlns:a16="http://schemas.microsoft.com/office/drawing/2014/main" id="{00000000-0008-0000-0100-00007C2F0200}"/>
            </a:ext>
          </a:extLst>
        </xdr:cNvPr>
        <xdr:cNvSpPr/>
      </xdr:nvSpPr>
      <xdr:spPr>
        <a:xfrm>
          <a:off x="18024856" y="35886389"/>
          <a:ext cx="8610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933196</xdr:colOff>
      <xdr:row>234</xdr:row>
      <xdr:rowOff>76199</xdr:rowOff>
    </xdr:from>
    <xdr:to>
      <xdr:col>33</xdr:col>
      <xdr:colOff>933196</xdr:colOff>
      <xdr:row>234</xdr:row>
      <xdr:rowOff>76199</xdr:rowOff>
    </xdr:to>
    <xdr:cxnSp macro="">
      <xdr:nvCxnSpPr>
        <xdr:cNvPr id="143229" name="직선 화살표 연결선 143228">
          <a:extLst>
            <a:ext uri="{FF2B5EF4-FFF2-40B4-BE49-F238E27FC236}">
              <a16:creationId xmlns:a16="http://schemas.microsoft.com/office/drawing/2014/main" id="{00000000-0008-0000-0100-00007D2F0200}"/>
            </a:ext>
          </a:extLst>
        </xdr:cNvPr>
        <xdr:cNvCxnSpPr/>
      </xdr:nvCxnSpPr>
      <xdr:spPr>
        <a:xfrm>
          <a:off x="18024856" y="359435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848360</xdr:colOff>
      <xdr:row>233</xdr:row>
      <xdr:rowOff>19049</xdr:rowOff>
    </xdr:from>
    <xdr:to>
      <xdr:col>33</xdr:col>
      <xdr:colOff>934466</xdr:colOff>
      <xdr:row>233</xdr:row>
      <xdr:rowOff>133349</xdr:rowOff>
    </xdr:to>
    <xdr:sp macro="" textlink="">
      <xdr:nvSpPr>
        <xdr:cNvPr id="143230" name="230">
          <a:extLst>
            <a:ext uri="{FF2B5EF4-FFF2-40B4-BE49-F238E27FC236}">
              <a16:creationId xmlns:a16="http://schemas.microsoft.com/office/drawing/2014/main" id="{00000000-0008-0000-0100-00007E2F0200}"/>
            </a:ext>
          </a:extLst>
        </xdr:cNvPr>
        <xdr:cNvSpPr/>
      </xdr:nvSpPr>
      <xdr:spPr>
        <a:xfrm>
          <a:off x="17940020" y="35733989"/>
          <a:ext cx="8610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848360</xdr:colOff>
      <xdr:row>233</xdr:row>
      <xdr:rowOff>76199</xdr:rowOff>
    </xdr:from>
    <xdr:to>
      <xdr:col>33</xdr:col>
      <xdr:colOff>848360</xdr:colOff>
      <xdr:row>233</xdr:row>
      <xdr:rowOff>76199</xdr:rowOff>
    </xdr:to>
    <xdr:cxnSp macro="">
      <xdr:nvCxnSpPr>
        <xdr:cNvPr id="143231" name="직선 화살표 연결선 143230">
          <a:extLst>
            <a:ext uri="{FF2B5EF4-FFF2-40B4-BE49-F238E27FC236}">
              <a16:creationId xmlns:a16="http://schemas.microsoft.com/office/drawing/2014/main" id="{00000000-0008-0000-0100-00007F2F0200}"/>
            </a:ext>
          </a:extLst>
        </xdr:cNvPr>
        <xdr:cNvCxnSpPr/>
      </xdr:nvCxnSpPr>
      <xdr:spPr>
        <a:xfrm>
          <a:off x="17940020" y="357911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636270</xdr:colOff>
      <xdr:row>232</xdr:row>
      <xdr:rowOff>19049</xdr:rowOff>
    </xdr:from>
    <xdr:to>
      <xdr:col>33</xdr:col>
      <xdr:colOff>764794</xdr:colOff>
      <xdr:row>232</xdr:row>
      <xdr:rowOff>133349</xdr:rowOff>
    </xdr:to>
    <xdr:sp macro="" textlink="">
      <xdr:nvSpPr>
        <xdr:cNvPr id="143232" name="229">
          <a:extLst>
            <a:ext uri="{FF2B5EF4-FFF2-40B4-BE49-F238E27FC236}">
              <a16:creationId xmlns:a16="http://schemas.microsoft.com/office/drawing/2014/main" id="{00000000-0008-0000-0100-0000802F0200}"/>
            </a:ext>
          </a:extLst>
        </xdr:cNvPr>
        <xdr:cNvSpPr/>
      </xdr:nvSpPr>
      <xdr:spPr>
        <a:xfrm>
          <a:off x="17727930" y="35581589"/>
          <a:ext cx="1285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636270</xdr:colOff>
      <xdr:row>232</xdr:row>
      <xdr:rowOff>76199</xdr:rowOff>
    </xdr:from>
    <xdr:to>
      <xdr:col>33</xdr:col>
      <xdr:colOff>636270</xdr:colOff>
      <xdr:row>232</xdr:row>
      <xdr:rowOff>76199</xdr:rowOff>
    </xdr:to>
    <xdr:cxnSp macro="">
      <xdr:nvCxnSpPr>
        <xdr:cNvPr id="143233" name="직선 화살표 연결선 143232">
          <a:extLst>
            <a:ext uri="{FF2B5EF4-FFF2-40B4-BE49-F238E27FC236}">
              <a16:creationId xmlns:a16="http://schemas.microsoft.com/office/drawing/2014/main" id="{00000000-0008-0000-0100-0000812F0200}"/>
            </a:ext>
          </a:extLst>
        </xdr:cNvPr>
        <xdr:cNvCxnSpPr/>
      </xdr:nvCxnSpPr>
      <xdr:spPr>
        <a:xfrm>
          <a:off x="17727930" y="356387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636270</xdr:colOff>
      <xdr:row>231</xdr:row>
      <xdr:rowOff>19049</xdr:rowOff>
    </xdr:from>
    <xdr:to>
      <xdr:col>33</xdr:col>
      <xdr:colOff>1019301</xdr:colOff>
      <xdr:row>231</xdr:row>
      <xdr:rowOff>133349</xdr:rowOff>
    </xdr:to>
    <xdr:sp macro="" textlink="">
      <xdr:nvSpPr>
        <xdr:cNvPr id="143234" name="228">
          <a:extLst>
            <a:ext uri="{FF2B5EF4-FFF2-40B4-BE49-F238E27FC236}">
              <a16:creationId xmlns:a16="http://schemas.microsoft.com/office/drawing/2014/main" id="{00000000-0008-0000-0100-0000822F0200}"/>
            </a:ext>
          </a:extLst>
        </xdr:cNvPr>
        <xdr:cNvSpPr/>
      </xdr:nvSpPr>
      <xdr:spPr>
        <a:xfrm>
          <a:off x="17727930" y="35429189"/>
          <a:ext cx="3830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636270</xdr:colOff>
      <xdr:row>231</xdr:row>
      <xdr:rowOff>76199</xdr:rowOff>
    </xdr:from>
    <xdr:to>
      <xdr:col>33</xdr:col>
      <xdr:colOff>636270</xdr:colOff>
      <xdr:row>231</xdr:row>
      <xdr:rowOff>76199</xdr:rowOff>
    </xdr:to>
    <xdr:cxnSp macro="">
      <xdr:nvCxnSpPr>
        <xdr:cNvPr id="143235" name="직선 화살표 연결선 143234">
          <a:extLst>
            <a:ext uri="{FF2B5EF4-FFF2-40B4-BE49-F238E27FC236}">
              <a16:creationId xmlns:a16="http://schemas.microsoft.com/office/drawing/2014/main" id="{00000000-0008-0000-0100-0000832F0200}"/>
            </a:ext>
          </a:extLst>
        </xdr:cNvPr>
        <xdr:cNvCxnSpPr/>
      </xdr:nvCxnSpPr>
      <xdr:spPr>
        <a:xfrm>
          <a:off x="17727930" y="354863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551434</xdr:colOff>
      <xdr:row>230</xdr:row>
      <xdr:rowOff>19049</xdr:rowOff>
    </xdr:from>
    <xdr:to>
      <xdr:col>33</xdr:col>
      <xdr:colOff>637540</xdr:colOff>
      <xdr:row>230</xdr:row>
      <xdr:rowOff>133349</xdr:rowOff>
    </xdr:to>
    <xdr:sp macro="" textlink="">
      <xdr:nvSpPr>
        <xdr:cNvPr id="143236" name="227">
          <a:extLst>
            <a:ext uri="{FF2B5EF4-FFF2-40B4-BE49-F238E27FC236}">
              <a16:creationId xmlns:a16="http://schemas.microsoft.com/office/drawing/2014/main" id="{00000000-0008-0000-0100-0000842F0200}"/>
            </a:ext>
          </a:extLst>
        </xdr:cNvPr>
        <xdr:cNvSpPr/>
      </xdr:nvSpPr>
      <xdr:spPr>
        <a:xfrm>
          <a:off x="17643094" y="35276789"/>
          <a:ext cx="8610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551434</xdr:colOff>
      <xdr:row>230</xdr:row>
      <xdr:rowOff>76199</xdr:rowOff>
    </xdr:from>
    <xdr:to>
      <xdr:col>33</xdr:col>
      <xdr:colOff>551434</xdr:colOff>
      <xdr:row>230</xdr:row>
      <xdr:rowOff>76199</xdr:rowOff>
    </xdr:to>
    <xdr:cxnSp macro="">
      <xdr:nvCxnSpPr>
        <xdr:cNvPr id="143237" name="직선 화살표 연결선 143236">
          <a:extLst>
            <a:ext uri="{FF2B5EF4-FFF2-40B4-BE49-F238E27FC236}">
              <a16:creationId xmlns:a16="http://schemas.microsoft.com/office/drawing/2014/main" id="{00000000-0008-0000-0100-0000852F0200}"/>
            </a:ext>
          </a:extLst>
        </xdr:cNvPr>
        <xdr:cNvCxnSpPr/>
      </xdr:nvCxnSpPr>
      <xdr:spPr>
        <a:xfrm>
          <a:off x="17643094" y="353339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551434</xdr:colOff>
      <xdr:row>229</xdr:row>
      <xdr:rowOff>19049</xdr:rowOff>
    </xdr:from>
    <xdr:to>
      <xdr:col>33</xdr:col>
      <xdr:colOff>1019301</xdr:colOff>
      <xdr:row>229</xdr:row>
      <xdr:rowOff>133349</xdr:rowOff>
    </xdr:to>
    <xdr:sp macro="" textlink="">
      <xdr:nvSpPr>
        <xdr:cNvPr id="143238" name="226">
          <a:extLst>
            <a:ext uri="{FF2B5EF4-FFF2-40B4-BE49-F238E27FC236}">
              <a16:creationId xmlns:a16="http://schemas.microsoft.com/office/drawing/2014/main" id="{00000000-0008-0000-0100-0000862F0200}"/>
            </a:ext>
          </a:extLst>
        </xdr:cNvPr>
        <xdr:cNvSpPr/>
      </xdr:nvSpPr>
      <xdr:spPr>
        <a:xfrm>
          <a:off x="17643094" y="35124389"/>
          <a:ext cx="46786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551434</xdr:colOff>
      <xdr:row>229</xdr:row>
      <xdr:rowOff>76199</xdr:rowOff>
    </xdr:from>
    <xdr:to>
      <xdr:col>33</xdr:col>
      <xdr:colOff>551434</xdr:colOff>
      <xdr:row>229</xdr:row>
      <xdr:rowOff>76199</xdr:rowOff>
    </xdr:to>
    <xdr:cxnSp macro="">
      <xdr:nvCxnSpPr>
        <xdr:cNvPr id="143239" name="직선 화살표 연결선 143238">
          <a:extLst>
            <a:ext uri="{FF2B5EF4-FFF2-40B4-BE49-F238E27FC236}">
              <a16:creationId xmlns:a16="http://schemas.microsoft.com/office/drawing/2014/main" id="{00000000-0008-0000-0100-0000872F0200}"/>
            </a:ext>
          </a:extLst>
        </xdr:cNvPr>
        <xdr:cNvCxnSpPr/>
      </xdr:nvCxnSpPr>
      <xdr:spPr>
        <a:xfrm>
          <a:off x="17643094" y="351815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254508</xdr:colOff>
      <xdr:row>228</xdr:row>
      <xdr:rowOff>19049</xdr:rowOff>
    </xdr:from>
    <xdr:to>
      <xdr:col>33</xdr:col>
      <xdr:colOff>467868</xdr:colOff>
      <xdr:row>228</xdr:row>
      <xdr:rowOff>133349</xdr:rowOff>
    </xdr:to>
    <xdr:sp macro="" textlink="">
      <xdr:nvSpPr>
        <xdr:cNvPr id="143240" name="225">
          <a:extLst>
            <a:ext uri="{FF2B5EF4-FFF2-40B4-BE49-F238E27FC236}">
              <a16:creationId xmlns:a16="http://schemas.microsoft.com/office/drawing/2014/main" id="{00000000-0008-0000-0100-0000882F0200}"/>
            </a:ext>
          </a:extLst>
        </xdr:cNvPr>
        <xdr:cNvSpPr/>
      </xdr:nvSpPr>
      <xdr:spPr>
        <a:xfrm>
          <a:off x="17346168" y="34971989"/>
          <a:ext cx="2133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254508</xdr:colOff>
      <xdr:row>228</xdr:row>
      <xdr:rowOff>76199</xdr:rowOff>
    </xdr:from>
    <xdr:to>
      <xdr:col>33</xdr:col>
      <xdr:colOff>254508</xdr:colOff>
      <xdr:row>228</xdr:row>
      <xdr:rowOff>76199</xdr:rowOff>
    </xdr:to>
    <xdr:cxnSp macro="">
      <xdr:nvCxnSpPr>
        <xdr:cNvPr id="143241" name="직선 화살표 연결선 143240">
          <a:extLst>
            <a:ext uri="{FF2B5EF4-FFF2-40B4-BE49-F238E27FC236}">
              <a16:creationId xmlns:a16="http://schemas.microsoft.com/office/drawing/2014/main" id="{00000000-0008-0000-0100-0000892F0200}"/>
            </a:ext>
          </a:extLst>
        </xdr:cNvPr>
        <xdr:cNvCxnSpPr/>
      </xdr:nvCxnSpPr>
      <xdr:spPr>
        <a:xfrm>
          <a:off x="17346168" y="350291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1231490</xdr:colOff>
      <xdr:row>227</xdr:row>
      <xdr:rowOff>19049</xdr:rowOff>
    </xdr:from>
    <xdr:to>
      <xdr:col>33</xdr:col>
      <xdr:colOff>170942</xdr:colOff>
      <xdr:row>227</xdr:row>
      <xdr:rowOff>133349</xdr:rowOff>
    </xdr:to>
    <xdr:sp macro="" textlink="">
      <xdr:nvSpPr>
        <xdr:cNvPr id="143242" name="224">
          <a:extLst>
            <a:ext uri="{FF2B5EF4-FFF2-40B4-BE49-F238E27FC236}">
              <a16:creationId xmlns:a16="http://schemas.microsoft.com/office/drawing/2014/main" id="{00000000-0008-0000-0100-00008A2F0200}"/>
            </a:ext>
          </a:extLst>
        </xdr:cNvPr>
        <xdr:cNvSpPr/>
      </xdr:nvSpPr>
      <xdr:spPr>
        <a:xfrm>
          <a:off x="17050610" y="34819589"/>
          <a:ext cx="21199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1231490</xdr:colOff>
      <xdr:row>227</xdr:row>
      <xdr:rowOff>76199</xdr:rowOff>
    </xdr:from>
    <xdr:to>
      <xdr:col>33</xdr:col>
      <xdr:colOff>169672</xdr:colOff>
      <xdr:row>227</xdr:row>
      <xdr:rowOff>76199</xdr:rowOff>
    </xdr:to>
    <xdr:cxnSp macro="">
      <xdr:nvCxnSpPr>
        <xdr:cNvPr id="143243" name="직선 화살표 연결선 143242">
          <a:extLst>
            <a:ext uri="{FF2B5EF4-FFF2-40B4-BE49-F238E27FC236}">
              <a16:creationId xmlns:a16="http://schemas.microsoft.com/office/drawing/2014/main" id="{00000000-0008-0000-0100-00008B2F0200}"/>
            </a:ext>
          </a:extLst>
        </xdr:cNvPr>
        <xdr:cNvCxnSpPr/>
      </xdr:nvCxnSpPr>
      <xdr:spPr>
        <a:xfrm>
          <a:off x="17050610" y="34876739"/>
          <a:ext cx="2107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1108341</xdr:colOff>
      <xdr:row>226</xdr:row>
      <xdr:rowOff>19049</xdr:rowOff>
    </xdr:from>
    <xdr:to>
      <xdr:col>32</xdr:col>
      <xdr:colOff>1150661</xdr:colOff>
      <xdr:row>226</xdr:row>
      <xdr:rowOff>133349</xdr:rowOff>
    </xdr:to>
    <xdr:sp macro="" textlink="">
      <xdr:nvSpPr>
        <xdr:cNvPr id="143244" name="223">
          <a:extLst>
            <a:ext uri="{FF2B5EF4-FFF2-40B4-BE49-F238E27FC236}">
              <a16:creationId xmlns:a16="http://schemas.microsoft.com/office/drawing/2014/main" id="{00000000-0008-0000-0100-00008C2F0200}"/>
            </a:ext>
          </a:extLst>
        </xdr:cNvPr>
        <xdr:cNvSpPr/>
      </xdr:nvSpPr>
      <xdr:spPr>
        <a:xfrm>
          <a:off x="16927461" y="34667189"/>
          <a:ext cx="42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1108341</xdr:colOff>
      <xdr:row>226</xdr:row>
      <xdr:rowOff>76199</xdr:rowOff>
    </xdr:from>
    <xdr:to>
      <xdr:col>32</xdr:col>
      <xdr:colOff>1108341</xdr:colOff>
      <xdr:row>226</xdr:row>
      <xdr:rowOff>76199</xdr:rowOff>
    </xdr:to>
    <xdr:cxnSp macro="">
      <xdr:nvCxnSpPr>
        <xdr:cNvPr id="143245" name="직선 화살표 연결선 143244">
          <a:extLst>
            <a:ext uri="{FF2B5EF4-FFF2-40B4-BE49-F238E27FC236}">
              <a16:creationId xmlns:a16="http://schemas.microsoft.com/office/drawing/2014/main" id="{00000000-0008-0000-0100-00008D2F0200}"/>
            </a:ext>
          </a:extLst>
        </xdr:cNvPr>
        <xdr:cNvCxnSpPr/>
      </xdr:nvCxnSpPr>
      <xdr:spPr>
        <a:xfrm>
          <a:off x="16927461" y="34724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820993</xdr:colOff>
      <xdr:row>225</xdr:row>
      <xdr:rowOff>19049</xdr:rowOff>
    </xdr:from>
    <xdr:to>
      <xdr:col>32</xdr:col>
      <xdr:colOff>1109611</xdr:colOff>
      <xdr:row>225</xdr:row>
      <xdr:rowOff>133349</xdr:rowOff>
    </xdr:to>
    <xdr:sp macro="" textlink="">
      <xdr:nvSpPr>
        <xdr:cNvPr id="143246" name="222">
          <a:extLst>
            <a:ext uri="{FF2B5EF4-FFF2-40B4-BE49-F238E27FC236}">
              <a16:creationId xmlns:a16="http://schemas.microsoft.com/office/drawing/2014/main" id="{00000000-0008-0000-0100-00008E2F0200}"/>
            </a:ext>
          </a:extLst>
        </xdr:cNvPr>
        <xdr:cNvSpPr/>
      </xdr:nvSpPr>
      <xdr:spPr>
        <a:xfrm>
          <a:off x="16640113" y="34514789"/>
          <a:ext cx="28861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820993</xdr:colOff>
      <xdr:row>225</xdr:row>
      <xdr:rowOff>76199</xdr:rowOff>
    </xdr:from>
    <xdr:to>
      <xdr:col>32</xdr:col>
      <xdr:colOff>1108341</xdr:colOff>
      <xdr:row>225</xdr:row>
      <xdr:rowOff>76199</xdr:rowOff>
    </xdr:to>
    <xdr:cxnSp macro="">
      <xdr:nvCxnSpPr>
        <xdr:cNvPr id="143247" name="직선 화살표 연결선 143246">
          <a:extLst>
            <a:ext uri="{FF2B5EF4-FFF2-40B4-BE49-F238E27FC236}">
              <a16:creationId xmlns:a16="http://schemas.microsoft.com/office/drawing/2014/main" id="{00000000-0008-0000-0100-00008F2F0200}"/>
            </a:ext>
          </a:extLst>
        </xdr:cNvPr>
        <xdr:cNvCxnSpPr/>
      </xdr:nvCxnSpPr>
      <xdr:spPr>
        <a:xfrm>
          <a:off x="16640113" y="34571939"/>
          <a:ext cx="2873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205248</xdr:colOff>
      <xdr:row>224</xdr:row>
      <xdr:rowOff>19049</xdr:rowOff>
    </xdr:from>
    <xdr:to>
      <xdr:col>32</xdr:col>
      <xdr:colOff>822263</xdr:colOff>
      <xdr:row>224</xdr:row>
      <xdr:rowOff>133349</xdr:rowOff>
    </xdr:to>
    <xdr:sp macro="" textlink="">
      <xdr:nvSpPr>
        <xdr:cNvPr id="143248" name="221">
          <a:extLst>
            <a:ext uri="{FF2B5EF4-FFF2-40B4-BE49-F238E27FC236}">
              <a16:creationId xmlns:a16="http://schemas.microsoft.com/office/drawing/2014/main" id="{00000000-0008-0000-0100-0000902F0200}"/>
            </a:ext>
          </a:extLst>
        </xdr:cNvPr>
        <xdr:cNvSpPr/>
      </xdr:nvSpPr>
      <xdr:spPr>
        <a:xfrm>
          <a:off x="16024368" y="34362389"/>
          <a:ext cx="61701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205248</xdr:colOff>
      <xdr:row>224</xdr:row>
      <xdr:rowOff>76199</xdr:rowOff>
    </xdr:from>
    <xdr:to>
      <xdr:col>32</xdr:col>
      <xdr:colOff>820993</xdr:colOff>
      <xdr:row>224</xdr:row>
      <xdr:rowOff>76199</xdr:rowOff>
    </xdr:to>
    <xdr:cxnSp macro="">
      <xdr:nvCxnSpPr>
        <xdr:cNvPr id="143249" name="직선 화살표 연결선 143248">
          <a:extLst>
            <a:ext uri="{FF2B5EF4-FFF2-40B4-BE49-F238E27FC236}">
              <a16:creationId xmlns:a16="http://schemas.microsoft.com/office/drawing/2014/main" id="{00000000-0008-0000-0100-0000912F0200}"/>
            </a:ext>
          </a:extLst>
        </xdr:cNvPr>
        <xdr:cNvCxnSpPr/>
      </xdr:nvCxnSpPr>
      <xdr:spPr>
        <a:xfrm>
          <a:off x="16024368" y="34419539"/>
          <a:ext cx="61574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205248</xdr:colOff>
      <xdr:row>223</xdr:row>
      <xdr:rowOff>19049</xdr:rowOff>
    </xdr:from>
    <xdr:to>
      <xdr:col>33</xdr:col>
      <xdr:colOff>170942</xdr:colOff>
      <xdr:row>223</xdr:row>
      <xdr:rowOff>133349</xdr:rowOff>
    </xdr:to>
    <xdr:sp macro="" textlink="">
      <xdr:nvSpPr>
        <xdr:cNvPr id="143250" name="220">
          <a:extLst>
            <a:ext uri="{FF2B5EF4-FFF2-40B4-BE49-F238E27FC236}">
              <a16:creationId xmlns:a16="http://schemas.microsoft.com/office/drawing/2014/main" id="{00000000-0008-0000-0100-0000922F0200}"/>
            </a:ext>
          </a:extLst>
        </xdr:cNvPr>
        <xdr:cNvSpPr/>
      </xdr:nvSpPr>
      <xdr:spPr>
        <a:xfrm>
          <a:off x="16024368" y="34209989"/>
          <a:ext cx="123823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205248</xdr:colOff>
      <xdr:row>223</xdr:row>
      <xdr:rowOff>76199</xdr:rowOff>
    </xdr:from>
    <xdr:to>
      <xdr:col>33</xdr:col>
      <xdr:colOff>110769</xdr:colOff>
      <xdr:row>223</xdr:row>
      <xdr:rowOff>76199</xdr:rowOff>
    </xdr:to>
    <xdr:cxnSp macro="">
      <xdr:nvCxnSpPr>
        <xdr:cNvPr id="143251" name="직선 화살표 연결선 143250">
          <a:extLst>
            <a:ext uri="{FF2B5EF4-FFF2-40B4-BE49-F238E27FC236}">
              <a16:creationId xmlns:a16="http://schemas.microsoft.com/office/drawing/2014/main" id="{00000000-0008-0000-0100-0000932F0200}"/>
            </a:ext>
          </a:extLst>
        </xdr:cNvPr>
        <xdr:cNvCxnSpPr/>
      </xdr:nvCxnSpPr>
      <xdr:spPr>
        <a:xfrm>
          <a:off x="16024368" y="34267139"/>
          <a:ext cx="11780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205248</xdr:colOff>
      <xdr:row>222</xdr:row>
      <xdr:rowOff>19049</xdr:rowOff>
    </xdr:from>
    <xdr:to>
      <xdr:col>33</xdr:col>
      <xdr:colOff>467868</xdr:colOff>
      <xdr:row>222</xdr:row>
      <xdr:rowOff>133349</xdr:rowOff>
    </xdr:to>
    <xdr:sp macro="" textlink="">
      <xdr:nvSpPr>
        <xdr:cNvPr id="143252" name="219">
          <a:extLst>
            <a:ext uri="{FF2B5EF4-FFF2-40B4-BE49-F238E27FC236}">
              <a16:creationId xmlns:a16="http://schemas.microsoft.com/office/drawing/2014/main" id="{00000000-0008-0000-0100-0000942F0200}"/>
            </a:ext>
          </a:extLst>
        </xdr:cNvPr>
        <xdr:cNvSpPr/>
      </xdr:nvSpPr>
      <xdr:spPr>
        <a:xfrm>
          <a:off x="16024368" y="34057589"/>
          <a:ext cx="153516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205248</xdr:colOff>
      <xdr:row>222</xdr:row>
      <xdr:rowOff>76199</xdr:rowOff>
    </xdr:from>
    <xdr:to>
      <xdr:col>33</xdr:col>
      <xdr:colOff>112623</xdr:colOff>
      <xdr:row>222</xdr:row>
      <xdr:rowOff>76199</xdr:rowOff>
    </xdr:to>
    <xdr:cxnSp macro="">
      <xdr:nvCxnSpPr>
        <xdr:cNvPr id="143253" name="직선 화살표 연결선 143252">
          <a:extLst>
            <a:ext uri="{FF2B5EF4-FFF2-40B4-BE49-F238E27FC236}">
              <a16:creationId xmlns:a16="http://schemas.microsoft.com/office/drawing/2014/main" id="{00000000-0008-0000-0100-0000952F0200}"/>
            </a:ext>
          </a:extLst>
        </xdr:cNvPr>
        <xdr:cNvCxnSpPr/>
      </xdr:nvCxnSpPr>
      <xdr:spPr>
        <a:xfrm>
          <a:off x="16024368" y="34114739"/>
          <a:ext cx="117991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933196</xdr:colOff>
      <xdr:row>221</xdr:row>
      <xdr:rowOff>19049</xdr:rowOff>
    </xdr:from>
    <xdr:to>
      <xdr:col>33</xdr:col>
      <xdr:colOff>1019301</xdr:colOff>
      <xdr:row>221</xdr:row>
      <xdr:rowOff>133349</xdr:rowOff>
    </xdr:to>
    <xdr:sp macro="" textlink="">
      <xdr:nvSpPr>
        <xdr:cNvPr id="143254" name="218">
          <a:extLst>
            <a:ext uri="{FF2B5EF4-FFF2-40B4-BE49-F238E27FC236}">
              <a16:creationId xmlns:a16="http://schemas.microsoft.com/office/drawing/2014/main" id="{00000000-0008-0000-0100-0000962F0200}"/>
            </a:ext>
          </a:extLst>
        </xdr:cNvPr>
        <xdr:cNvSpPr/>
      </xdr:nvSpPr>
      <xdr:spPr>
        <a:xfrm>
          <a:off x="18024856" y="33905189"/>
          <a:ext cx="8610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933196</xdr:colOff>
      <xdr:row>221</xdr:row>
      <xdr:rowOff>76199</xdr:rowOff>
    </xdr:from>
    <xdr:to>
      <xdr:col>33</xdr:col>
      <xdr:colOff>933196</xdr:colOff>
      <xdr:row>221</xdr:row>
      <xdr:rowOff>76199</xdr:rowOff>
    </xdr:to>
    <xdr:cxnSp macro="">
      <xdr:nvCxnSpPr>
        <xdr:cNvPr id="143255" name="직선 화살표 연결선 143254">
          <a:extLst>
            <a:ext uri="{FF2B5EF4-FFF2-40B4-BE49-F238E27FC236}">
              <a16:creationId xmlns:a16="http://schemas.microsoft.com/office/drawing/2014/main" id="{00000000-0008-0000-0100-0000972F0200}"/>
            </a:ext>
          </a:extLst>
        </xdr:cNvPr>
        <xdr:cNvCxnSpPr/>
      </xdr:nvCxnSpPr>
      <xdr:spPr>
        <a:xfrm>
          <a:off x="18024856" y="339623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721105</xdr:colOff>
      <xdr:row>220</xdr:row>
      <xdr:rowOff>19049</xdr:rowOff>
    </xdr:from>
    <xdr:to>
      <xdr:col>33</xdr:col>
      <xdr:colOff>934466</xdr:colOff>
      <xdr:row>220</xdr:row>
      <xdr:rowOff>133349</xdr:rowOff>
    </xdr:to>
    <xdr:sp macro="" textlink="">
      <xdr:nvSpPr>
        <xdr:cNvPr id="143256" name="217">
          <a:extLst>
            <a:ext uri="{FF2B5EF4-FFF2-40B4-BE49-F238E27FC236}">
              <a16:creationId xmlns:a16="http://schemas.microsoft.com/office/drawing/2014/main" id="{00000000-0008-0000-0100-0000982F0200}"/>
            </a:ext>
          </a:extLst>
        </xdr:cNvPr>
        <xdr:cNvSpPr/>
      </xdr:nvSpPr>
      <xdr:spPr>
        <a:xfrm>
          <a:off x="17812765" y="33752789"/>
          <a:ext cx="21336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721105</xdr:colOff>
      <xdr:row>220</xdr:row>
      <xdr:rowOff>76199</xdr:rowOff>
    </xdr:from>
    <xdr:to>
      <xdr:col>33</xdr:col>
      <xdr:colOff>721105</xdr:colOff>
      <xdr:row>220</xdr:row>
      <xdr:rowOff>76199</xdr:rowOff>
    </xdr:to>
    <xdr:cxnSp macro="">
      <xdr:nvCxnSpPr>
        <xdr:cNvPr id="143257" name="직선 화살표 연결선 143256">
          <a:extLst>
            <a:ext uri="{FF2B5EF4-FFF2-40B4-BE49-F238E27FC236}">
              <a16:creationId xmlns:a16="http://schemas.microsoft.com/office/drawing/2014/main" id="{00000000-0008-0000-0100-0000992F0200}"/>
            </a:ext>
          </a:extLst>
        </xdr:cNvPr>
        <xdr:cNvCxnSpPr/>
      </xdr:nvCxnSpPr>
      <xdr:spPr>
        <a:xfrm>
          <a:off x="17812765" y="338099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636270</xdr:colOff>
      <xdr:row>219</xdr:row>
      <xdr:rowOff>19049</xdr:rowOff>
    </xdr:from>
    <xdr:to>
      <xdr:col>33</xdr:col>
      <xdr:colOff>722375</xdr:colOff>
      <xdr:row>219</xdr:row>
      <xdr:rowOff>133349</xdr:rowOff>
    </xdr:to>
    <xdr:sp macro="" textlink="">
      <xdr:nvSpPr>
        <xdr:cNvPr id="143258" name="216">
          <a:extLst>
            <a:ext uri="{FF2B5EF4-FFF2-40B4-BE49-F238E27FC236}">
              <a16:creationId xmlns:a16="http://schemas.microsoft.com/office/drawing/2014/main" id="{00000000-0008-0000-0100-00009A2F0200}"/>
            </a:ext>
          </a:extLst>
        </xdr:cNvPr>
        <xdr:cNvSpPr/>
      </xdr:nvSpPr>
      <xdr:spPr>
        <a:xfrm>
          <a:off x="17727930" y="33600389"/>
          <a:ext cx="8610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636270</xdr:colOff>
      <xdr:row>219</xdr:row>
      <xdr:rowOff>76199</xdr:rowOff>
    </xdr:from>
    <xdr:to>
      <xdr:col>33</xdr:col>
      <xdr:colOff>636270</xdr:colOff>
      <xdr:row>219</xdr:row>
      <xdr:rowOff>76199</xdr:rowOff>
    </xdr:to>
    <xdr:cxnSp macro="">
      <xdr:nvCxnSpPr>
        <xdr:cNvPr id="143259" name="직선 화살표 연결선 143258">
          <a:extLst>
            <a:ext uri="{FF2B5EF4-FFF2-40B4-BE49-F238E27FC236}">
              <a16:creationId xmlns:a16="http://schemas.microsoft.com/office/drawing/2014/main" id="{00000000-0008-0000-0100-00009B2F0200}"/>
            </a:ext>
          </a:extLst>
        </xdr:cNvPr>
        <xdr:cNvCxnSpPr/>
      </xdr:nvCxnSpPr>
      <xdr:spPr>
        <a:xfrm>
          <a:off x="17727930" y="336575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551434</xdr:colOff>
      <xdr:row>218</xdr:row>
      <xdr:rowOff>19049</xdr:rowOff>
    </xdr:from>
    <xdr:to>
      <xdr:col>33</xdr:col>
      <xdr:colOff>637540</xdr:colOff>
      <xdr:row>218</xdr:row>
      <xdr:rowOff>133349</xdr:rowOff>
    </xdr:to>
    <xdr:sp macro="" textlink="">
      <xdr:nvSpPr>
        <xdr:cNvPr id="143260" name="215">
          <a:extLst>
            <a:ext uri="{FF2B5EF4-FFF2-40B4-BE49-F238E27FC236}">
              <a16:creationId xmlns:a16="http://schemas.microsoft.com/office/drawing/2014/main" id="{00000000-0008-0000-0100-00009C2F0200}"/>
            </a:ext>
          </a:extLst>
        </xdr:cNvPr>
        <xdr:cNvSpPr/>
      </xdr:nvSpPr>
      <xdr:spPr>
        <a:xfrm>
          <a:off x="17643094" y="33447989"/>
          <a:ext cx="8610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551434</xdr:colOff>
      <xdr:row>218</xdr:row>
      <xdr:rowOff>76199</xdr:rowOff>
    </xdr:from>
    <xdr:to>
      <xdr:col>33</xdr:col>
      <xdr:colOff>551434</xdr:colOff>
      <xdr:row>218</xdr:row>
      <xdr:rowOff>76199</xdr:rowOff>
    </xdr:to>
    <xdr:cxnSp macro="">
      <xdr:nvCxnSpPr>
        <xdr:cNvPr id="143261" name="직선 화살표 연결선 143260">
          <a:extLst>
            <a:ext uri="{FF2B5EF4-FFF2-40B4-BE49-F238E27FC236}">
              <a16:creationId xmlns:a16="http://schemas.microsoft.com/office/drawing/2014/main" id="{00000000-0008-0000-0100-00009D2F0200}"/>
            </a:ext>
          </a:extLst>
        </xdr:cNvPr>
        <xdr:cNvCxnSpPr/>
      </xdr:nvCxnSpPr>
      <xdr:spPr>
        <a:xfrm>
          <a:off x="17643094" y="335051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551434</xdr:colOff>
      <xdr:row>217</xdr:row>
      <xdr:rowOff>19049</xdr:rowOff>
    </xdr:from>
    <xdr:to>
      <xdr:col>33</xdr:col>
      <xdr:colOff>1019301</xdr:colOff>
      <xdr:row>217</xdr:row>
      <xdr:rowOff>133349</xdr:rowOff>
    </xdr:to>
    <xdr:sp macro="" textlink="">
      <xdr:nvSpPr>
        <xdr:cNvPr id="143262" name="214">
          <a:extLst>
            <a:ext uri="{FF2B5EF4-FFF2-40B4-BE49-F238E27FC236}">
              <a16:creationId xmlns:a16="http://schemas.microsoft.com/office/drawing/2014/main" id="{00000000-0008-0000-0100-00009E2F0200}"/>
            </a:ext>
          </a:extLst>
        </xdr:cNvPr>
        <xdr:cNvSpPr/>
      </xdr:nvSpPr>
      <xdr:spPr>
        <a:xfrm>
          <a:off x="17643094" y="33295589"/>
          <a:ext cx="46786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551434</xdr:colOff>
      <xdr:row>217</xdr:row>
      <xdr:rowOff>76199</xdr:rowOff>
    </xdr:from>
    <xdr:to>
      <xdr:col>33</xdr:col>
      <xdr:colOff>551434</xdr:colOff>
      <xdr:row>217</xdr:row>
      <xdr:rowOff>76199</xdr:rowOff>
    </xdr:to>
    <xdr:cxnSp macro="">
      <xdr:nvCxnSpPr>
        <xdr:cNvPr id="143263" name="직선 화살표 연결선 143262">
          <a:extLst>
            <a:ext uri="{FF2B5EF4-FFF2-40B4-BE49-F238E27FC236}">
              <a16:creationId xmlns:a16="http://schemas.microsoft.com/office/drawing/2014/main" id="{00000000-0008-0000-0100-00009F2F0200}"/>
            </a:ext>
          </a:extLst>
        </xdr:cNvPr>
        <xdr:cNvCxnSpPr/>
      </xdr:nvCxnSpPr>
      <xdr:spPr>
        <a:xfrm>
          <a:off x="17643094" y="333527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339344</xdr:colOff>
      <xdr:row>216</xdr:row>
      <xdr:rowOff>19049</xdr:rowOff>
    </xdr:from>
    <xdr:to>
      <xdr:col>33</xdr:col>
      <xdr:colOff>467868</xdr:colOff>
      <xdr:row>216</xdr:row>
      <xdr:rowOff>133349</xdr:rowOff>
    </xdr:to>
    <xdr:sp macro="" textlink="">
      <xdr:nvSpPr>
        <xdr:cNvPr id="143264" name="213">
          <a:extLst>
            <a:ext uri="{FF2B5EF4-FFF2-40B4-BE49-F238E27FC236}">
              <a16:creationId xmlns:a16="http://schemas.microsoft.com/office/drawing/2014/main" id="{00000000-0008-0000-0100-0000A02F0200}"/>
            </a:ext>
          </a:extLst>
        </xdr:cNvPr>
        <xdr:cNvSpPr/>
      </xdr:nvSpPr>
      <xdr:spPr>
        <a:xfrm>
          <a:off x="17431004" y="33143189"/>
          <a:ext cx="1285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339344</xdr:colOff>
      <xdr:row>216</xdr:row>
      <xdr:rowOff>76199</xdr:rowOff>
    </xdr:from>
    <xdr:to>
      <xdr:col>33</xdr:col>
      <xdr:colOff>339344</xdr:colOff>
      <xdr:row>216</xdr:row>
      <xdr:rowOff>76199</xdr:rowOff>
    </xdr:to>
    <xdr:cxnSp macro="">
      <xdr:nvCxnSpPr>
        <xdr:cNvPr id="143265" name="직선 화살표 연결선 143264">
          <a:extLst>
            <a:ext uri="{FF2B5EF4-FFF2-40B4-BE49-F238E27FC236}">
              <a16:creationId xmlns:a16="http://schemas.microsoft.com/office/drawing/2014/main" id="{00000000-0008-0000-0100-0000A12F0200}"/>
            </a:ext>
          </a:extLst>
        </xdr:cNvPr>
        <xdr:cNvCxnSpPr/>
      </xdr:nvCxnSpPr>
      <xdr:spPr>
        <a:xfrm>
          <a:off x="17431004" y="332003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339344</xdr:colOff>
      <xdr:row>215</xdr:row>
      <xdr:rowOff>19049</xdr:rowOff>
    </xdr:from>
    <xdr:to>
      <xdr:col>33</xdr:col>
      <xdr:colOff>1019301</xdr:colOff>
      <xdr:row>215</xdr:row>
      <xdr:rowOff>133349</xdr:rowOff>
    </xdr:to>
    <xdr:sp macro="" textlink="">
      <xdr:nvSpPr>
        <xdr:cNvPr id="143266" name="212">
          <a:extLst>
            <a:ext uri="{FF2B5EF4-FFF2-40B4-BE49-F238E27FC236}">
              <a16:creationId xmlns:a16="http://schemas.microsoft.com/office/drawing/2014/main" id="{00000000-0008-0000-0100-0000A22F0200}"/>
            </a:ext>
          </a:extLst>
        </xdr:cNvPr>
        <xdr:cNvSpPr/>
      </xdr:nvSpPr>
      <xdr:spPr>
        <a:xfrm>
          <a:off x="17431004" y="32990789"/>
          <a:ext cx="67995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339344</xdr:colOff>
      <xdr:row>215</xdr:row>
      <xdr:rowOff>76199</xdr:rowOff>
    </xdr:from>
    <xdr:to>
      <xdr:col>33</xdr:col>
      <xdr:colOff>339344</xdr:colOff>
      <xdr:row>215</xdr:row>
      <xdr:rowOff>76199</xdr:rowOff>
    </xdr:to>
    <xdr:cxnSp macro="">
      <xdr:nvCxnSpPr>
        <xdr:cNvPr id="143267" name="직선 화살표 연결선 143266">
          <a:extLst>
            <a:ext uri="{FF2B5EF4-FFF2-40B4-BE49-F238E27FC236}">
              <a16:creationId xmlns:a16="http://schemas.microsoft.com/office/drawing/2014/main" id="{00000000-0008-0000-0100-0000A32F0200}"/>
            </a:ext>
          </a:extLst>
        </xdr:cNvPr>
        <xdr:cNvCxnSpPr/>
      </xdr:nvCxnSpPr>
      <xdr:spPr>
        <a:xfrm>
          <a:off x="17431004" y="330479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287348</xdr:colOff>
      <xdr:row>214</xdr:row>
      <xdr:rowOff>19049</xdr:rowOff>
    </xdr:from>
    <xdr:to>
      <xdr:col>34</xdr:col>
      <xdr:colOff>370717</xdr:colOff>
      <xdr:row>214</xdr:row>
      <xdr:rowOff>133349</xdr:rowOff>
    </xdr:to>
    <xdr:sp macro="" textlink="">
      <xdr:nvSpPr>
        <xdr:cNvPr id="143268" name="211">
          <a:extLst>
            <a:ext uri="{FF2B5EF4-FFF2-40B4-BE49-F238E27FC236}">
              <a16:creationId xmlns:a16="http://schemas.microsoft.com/office/drawing/2014/main" id="{00000000-0008-0000-0100-0000A42F0200}"/>
            </a:ext>
          </a:extLst>
        </xdr:cNvPr>
        <xdr:cNvSpPr/>
      </xdr:nvSpPr>
      <xdr:spPr>
        <a:xfrm>
          <a:off x="18651548" y="32838389"/>
          <a:ext cx="8336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287348</xdr:colOff>
      <xdr:row>214</xdr:row>
      <xdr:rowOff>76199</xdr:rowOff>
    </xdr:from>
    <xdr:to>
      <xdr:col>34</xdr:col>
      <xdr:colOff>287348</xdr:colOff>
      <xdr:row>214</xdr:row>
      <xdr:rowOff>76199</xdr:rowOff>
    </xdr:to>
    <xdr:cxnSp macro="">
      <xdr:nvCxnSpPr>
        <xdr:cNvPr id="143269" name="직선 화살표 연결선 143268">
          <a:extLst>
            <a:ext uri="{FF2B5EF4-FFF2-40B4-BE49-F238E27FC236}">
              <a16:creationId xmlns:a16="http://schemas.microsoft.com/office/drawing/2014/main" id="{00000000-0008-0000-0100-0000A52F0200}"/>
            </a:ext>
          </a:extLst>
        </xdr:cNvPr>
        <xdr:cNvCxnSpPr/>
      </xdr:nvCxnSpPr>
      <xdr:spPr>
        <a:xfrm>
          <a:off x="18651548" y="328955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213</xdr:row>
      <xdr:rowOff>19049</xdr:rowOff>
    </xdr:from>
    <xdr:to>
      <xdr:col>34</xdr:col>
      <xdr:colOff>288618</xdr:colOff>
      <xdr:row>213</xdr:row>
      <xdr:rowOff>133349</xdr:rowOff>
    </xdr:to>
    <xdr:sp macro="" textlink="">
      <xdr:nvSpPr>
        <xdr:cNvPr id="143270" name="210">
          <a:extLst>
            <a:ext uri="{FF2B5EF4-FFF2-40B4-BE49-F238E27FC236}">
              <a16:creationId xmlns:a16="http://schemas.microsoft.com/office/drawing/2014/main" id="{00000000-0008-0000-0100-0000A62F0200}"/>
            </a:ext>
          </a:extLst>
        </xdr:cNvPr>
        <xdr:cNvSpPr/>
      </xdr:nvSpPr>
      <xdr:spPr>
        <a:xfrm>
          <a:off x="18364200" y="32685989"/>
          <a:ext cx="28861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0</xdr:colOff>
      <xdr:row>213</xdr:row>
      <xdr:rowOff>76199</xdr:rowOff>
    </xdr:from>
    <xdr:to>
      <xdr:col>34</xdr:col>
      <xdr:colOff>0</xdr:colOff>
      <xdr:row>213</xdr:row>
      <xdr:rowOff>76199</xdr:rowOff>
    </xdr:to>
    <xdr:cxnSp macro="">
      <xdr:nvCxnSpPr>
        <xdr:cNvPr id="143271" name="직선 화살표 연결선 143270">
          <a:extLst>
            <a:ext uri="{FF2B5EF4-FFF2-40B4-BE49-F238E27FC236}">
              <a16:creationId xmlns:a16="http://schemas.microsoft.com/office/drawing/2014/main" id="{00000000-0008-0000-0100-0000A72F0200}"/>
            </a:ext>
          </a:extLst>
        </xdr:cNvPr>
        <xdr:cNvCxnSpPr/>
      </xdr:nvCxnSpPr>
      <xdr:spPr>
        <a:xfrm>
          <a:off x="18364200" y="327431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1145286</xdr:colOff>
      <xdr:row>212</xdr:row>
      <xdr:rowOff>19049</xdr:rowOff>
    </xdr:from>
    <xdr:to>
      <xdr:col>34</xdr:col>
      <xdr:colOff>1270</xdr:colOff>
      <xdr:row>212</xdr:row>
      <xdr:rowOff>133349</xdr:rowOff>
    </xdr:to>
    <xdr:sp macro="" textlink="">
      <xdr:nvSpPr>
        <xdr:cNvPr id="143272" name="209">
          <a:extLst>
            <a:ext uri="{FF2B5EF4-FFF2-40B4-BE49-F238E27FC236}">
              <a16:creationId xmlns:a16="http://schemas.microsoft.com/office/drawing/2014/main" id="{00000000-0008-0000-0100-0000A82F0200}"/>
            </a:ext>
          </a:extLst>
        </xdr:cNvPr>
        <xdr:cNvSpPr/>
      </xdr:nvSpPr>
      <xdr:spPr>
        <a:xfrm>
          <a:off x="18236946" y="32533589"/>
          <a:ext cx="1285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1145286</xdr:colOff>
      <xdr:row>212</xdr:row>
      <xdr:rowOff>76199</xdr:rowOff>
    </xdr:from>
    <xdr:to>
      <xdr:col>33</xdr:col>
      <xdr:colOff>1145286</xdr:colOff>
      <xdr:row>212</xdr:row>
      <xdr:rowOff>76199</xdr:rowOff>
    </xdr:to>
    <xdr:cxnSp macro="">
      <xdr:nvCxnSpPr>
        <xdr:cNvPr id="143273" name="직선 화살표 연결선 143272">
          <a:extLst>
            <a:ext uri="{FF2B5EF4-FFF2-40B4-BE49-F238E27FC236}">
              <a16:creationId xmlns:a16="http://schemas.microsoft.com/office/drawing/2014/main" id="{00000000-0008-0000-0100-0000A92F0200}"/>
            </a:ext>
          </a:extLst>
        </xdr:cNvPr>
        <xdr:cNvCxnSpPr/>
      </xdr:nvCxnSpPr>
      <xdr:spPr>
        <a:xfrm>
          <a:off x="18236946" y="325907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1145286</xdr:colOff>
      <xdr:row>211</xdr:row>
      <xdr:rowOff>19049</xdr:rowOff>
    </xdr:from>
    <xdr:to>
      <xdr:col>34</xdr:col>
      <xdr:colOff>1270</xdr:colOff>
      <xdr:row>211</xdr:row>
      <xdr:rowOff>133349</xdr:rowOff>
    </xdr:to>
    <xdr:sp macro="" textlink="">
      <xdr:nvSpPr>
        <xdr:cNvPr id="143274" name="208">
          <a:extLst>
            <a:ext uri="{FF2B5EF4-FFF2-40B4-BE49-F238E27FC236}">
              <a16:creationId xmlns:a16="http://schemas.microsoft.com/office/drawing/2014/main" id="{00000000-0008-0000-0100-0000AA2F0200}"/>
            </a:ext>
          </a:extLst>
        </xdr:cNvPr>
        <xdr:cNvSpPr/>
      </xdr:nvSpPr>
      <xdr:spPr>
        <a:xfrm>
          <a:off x="18236946" y="32381189"/>
          <a:ext cx="12852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1145286</xdr:colOff>
      <xdr:row>211</xdr:row>
      <xdr:rowOff>76199</xdr:rowOff>
    </xdr:from>
    <xdr:to>
      <xdr:col>33</xdr:col>
      <xdr:colOff>1145286</xdr:colOff>
      <xdr:row>211</xdr:row>
      <xdr:rowOff>76199</xdr:rowOff>
    </xdr:to>
    <xdr:cxnSp macro="">
      <xdr:nvCxnSpPr>
        <xdr:cNvPr id="143275" name="직선 화살표 연결선 143274">
          <a:extLst>
            <a:ext uri="{FF2B5EF4-FFF2-40B4-BE49-F238E27FC236}">
              <a16:creationId xmlns:a16="http://schemas.microsoft.com/office/drawing/2014/main" id="{00000000-0008-0000-0100-0000AB2F0200}"/>
            </a:ext>
          </a:extLst>
        </xdr:cNvPr>
        <xdr:cNvCxnSpPr/>
      </xdr:nvCxnSpPr>
      <xdr:spPr>
        <a:xfrm>
          <a:off x="18236946" y="324383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1018032</xdr:colOff>
      <xdr:row>210</xdr:row>
      <xdr:rowOff>19049</xdr:rowOff>
    </xdr:from>
    <xdr:to>
      <xdr:col>33</xdr:col>
      <xdr:colOff>1061720</xdr:colOff>
      <xdr:row>210</xdr:row>
      <xdr:rowOff>133349</xdr:rowOff>
    </xdr:to>
    <xdr:sp macro="" textlink="">
      <xdr:nvSpPr>
        <xdr:cNvPr id="143276" name="207">
          <a:extLst>
            <a:ext uri="{FF2B5EF4-FFF2-40B4-BE49-F238E27FC236}">
              <a16:creationId xmlns:a16="http://schemas.microsoft.com/office/drawing/2014/main" id="{00000000-0008-0000-0100-0000AC2F0200}"/>
            </a:ext>
          </a:extLst>
        </xdr:cNvPr>
        <xdr:cNvSpPr/>
      </xdr:nvSpPr>
      <xdr:spPr>
        <a:xfrm>
          <a:off x="18109692" y="32228789"/>
          <a:ext cx="4368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1018032</xdr:colOff>
      <xdr:row>210</xdr:row>
      <xdr:rowOff>76199</xdr:rowOff>
    </xdr:from>
    <xdr:to>
      <xdr:col>33</xdr:col>
      <xdr:colOff>1018032</xdr:colOff>
      <xdr:row>210</xdr:row>
      <xdr:rowOff>76199</xdr:rowOff>
    </xdr:to>
    <xdr:cxnSp macro="">
      <xdr:nvCxnSpPr>
        <xdr:cNvPr id="143277" name="직선 화살표 연결선 143276">
          <a:extLst>
            <a:ext uri="{FF2B5EF4-FFF2-40B4-BE49-F238E27FC236}">
              <a16:creationId xmlns:a16="http://schemas.microsoft.com/office/drawing/2014/main" id="{00000000-0008-0000-0100-0000AD2F0200}"/>
            </a:ext>
          </a:extLst>
        </xdr:cNvPr>
        <xdr:cNvCxnSpPr/>
      </xdr:nvCxnSpPr>
      <xdr:spPr>
        <a:xfrm>
          <a:off x="18109692" y="322859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339344</xdr:colOff>
      <xdr:row>209</xdr:row>
      <xdr:rowOff>19049</xdr:rowOff>
    </xdr:from>
    <xdr:to>
      <xdr:col>34</xdr:col>
      <xdr:colOff>370717</xdr:colOff>
      <xdr:row>209</xdr:row>
      <xdr:rowOff>133349</xdr:rowOff>
    </xdr:to>
    <xdr:sp macro="" textlink="">
      <xdr:nvSpPr>
        <xdr:cNvPr id="143278" name="206">
          <a:extLst>
            <a:ext uri="{FF2B5EF4-FFF2-40B4-BE49-F238E27FC236}">
              <a16:creationId xmlns:a16="http://schemas.microsoft.com/office/drawing/2014/main" id="{00000000-0008-0000-0100-0000AE2F0200}"/>
            </a:ext>
          </a:extLst>
        </xdr:cNvPr>
        <xdr:cNvSpPr/>
      </xdr:nvSpPr>
      <xdr:spPr>
        <a:xfrm>
          <a:off x="17431004" y="32076389"/>
          <a:ext cx="130391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339344</xdr:colOff>
      <xdr:row>209</xdr:row>
      <xdr:rowOff>76199</xdr:rowOff>
    </xdr:from>
    <xdr:to>
      <xdr:col>33</xdr:col>
      <xdr:colOff>339344</xdr:colOff>
      <xdr:row>209</xdr:row>
      <xdr:rowOff>76199</xdr:rowOff>
    </xdr:to>
    <xdr:cxnSp macro="">
      <xdr:nvCxnSpPr>
        <xdr:cNvPr id="143279" name="직선 화살표 연결선 143278">
          <a:extLst>
            <a:ext uri="{FF2B5EF4-FFF2-40B4-BE49-F238E27FC236}">
              <a16:creationId xmlns:a16="http://schemas.microsoft.com/office/drawing/2014/main" id="{00000000-0008-0000-0100-0000AF2F0200}"/>
            </a:ext>
          </a:extLst>
        </xdr:cNvPr>
        <xdr:cNvCxnSpPr/>
      </xdr:nvCxnSpPr>
      <xdr:spPr>
        <a:xfrm>
          <a:off x="17431004" y="321335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1149390</xdr:colOff>
      <xdr:row>208</xdr:row>
      <xdr:rowOff>19049</xdr:rowOff>
    </xdr:from>
    <xdr:to>
      <xdr:col>34</xdr:col>
      <xdr:colOff>1232760</xdr:colOff>
      <xdr:row>208</xdr:row>
      <xdr:rowOff>133349</xdr:rowOff>
    </xdr:to>
    <xdr:sp macro="" textlink="">
      <xdr:nvSpPr>
        <xdr:cNvPr id="143280" name="205">
          <a:extLst>
            <a:ext uri="{FF2B5EF4-FFF2-40B4-BE49-F238E27FC236}">
              <a16:creationId xmlns:a16="http://schemas.microsoft.com/office/drawing/2014/main" id="{00000000-0008-0000-0100-0000B02F0200}"/>
            </a:ext>
          </a:extLst>
        </xdr:cNvPr>
        <xdr:cNvSpPr/>
      </xdr:nvSpPr>
      <xdr:spPr>
        <a:xfrm>
          <a:off x="19513590" y="31923989"/>
          <a:ext cx="833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1149390</xdr:colOff>
      <xdr:row>208</xdr:row>
      <xdr:rowOff>76199</xdr:rowOff>
    </xdr:from>
    <xdr:to>
      <xdr:col>34</xdr:col>
      <xdr:colOff>1149390</xdr:colOff>
      <xdr:row>208</xdr:row>
      <xdr:rowOff>76199</xdr:rowOff>
    </xdr:to>
    <xdr:cxnSp macro="">
      <xdr:nvCxnSpPr>
        <xdr:cNvPr id="143281" name="직선 화살표 연결선 143280">
          <a:extLst>
            <a:ext uri="{FF2B5EF4-FFF2-40B4-BE49-F238E27FC236}">
              <a16:creationId xmlns:a16="http://schemas.microsoft.com/office/drawing/2014/main" id="{00000000-0008-0000-0100-0000B12F0200}"/>
            </a:ext>
          </a:extLst>
        </xdr:cNvPr>
        <xdr:cNvCxnSpPr/>
      </xdr:nvCxnSpPr>
      <xdr:spPr>
        <a:xfrm>
          <a:off x="19513590" y="319811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1067291</xdr:colOff>
      <xdr:row>207</xdr:row>
      <xdr:rowOff>19049</xdr:rowOff>
    </xdr:from>
    <xdr:to>
      <xdr:col>34</xdr:col>
      <xdr:colOff>1150660</xdr:colOff>
      <xdr:row>207</xdr:row>
      <xdr:rowOff>133349</xdr:rowOff>
    </xdr:to>
    <xdr:sp macro="" textlink="">
      <xdr:nvSpPr>
        <xdr:cNvPr id="143282" name="204">
          <a:extLst>
            <a:ext uri="{FF2B5EF4-FFF2-40B4-BE49-F238E27FC236}">
              <a16:creationId xmlns:a16="http://schemas.microsoft.com/office/drawing/2014/main" id="{00000000-0008-0000-0100-0000B22F0200}"/>
            </a:ext>
          </a:extLst>
        </xdr:cNvPr>
        <xdr:cNvSpPr/>
      </xdr:nvSpPr>
      <xdr:spPr>
        <a:xfrm>
          <a:off x="19431491" y="31771589"/>
          <a:ext cx="8336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1067291</xdr:colOff>
      <xdr:row>207</xdr:row>
      <xdr:rowOff>76199</xdr:rowOff>
    </xdr:from>
    <xdr:to>
      <xdr:col>34</xdr:col>
      <xdr:colOff>1067291</xdr:colOff>
      <xdr:row>207</xdr:row>
      <xdr:rowOff>76199</xdr:rowOff>
    </xdr:to>
    <xdr:cxnSp macro="">
      <xdr:nvCxnSpPr>
        <xdr:cNvPr id="143283" name="직선 화살표 연결선 143282">
          <a:extLst>
            <a:ext uri="{FF2B5EF4-FFF2-40B4-BE49-F238E27FC236}">
              <a16:creationId xmlns:a16="http://schemas.microsoft.com/office/drawing/2014/main" id="{00000000-0008-0000-0100-0000B32F0200}"/>
            </a:ext>
          </a:extLst>
        </xdr:cNvPr>
        <xdr:cNvCxnSpPr/>
      </xdr:nvCxnSpPr>
      <xdr:spPr>
        <a:xfrm>
          <a:off x="19431491" y="318287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862044</xdr:colOff>
      <xdr:row>206</xdr:row>
      <xdr:rowOff>19049</xdr:rowOff>
    </xdr:from>
    <xdr:to>
      <xdr:col>34</xdr:col>
      <xdr:colOff>945412</xdr:colOff>
      <xdr:row>206</xdr:row>
      <xdr:rowOff>133349</xdr:rowOff>
    </xdr:to>
    <xdr:sp macro="" textlink="">
      <xdr:nvSpPr>
        <xdr:cNvPr id="143284" name="203">
          <a:extLst>
            <a:ext uri="{FF2B5EF4-FFF2-40B4-BE49-F238E27FC236}">
              <a16:creationId xmlns:a16="http://schemas.microsoft.com/office/drawing/2014/main" id="{00000000-0008-0000-0100-0000B42F0200}"/>
            </a:ext>
          </a:extLst>
        </xdr:cNvPr>
        <xdr:cNvSpPr/>
      </xdr:nvSpPr>
      <xdr:spPr>
        <a:xfrm>
          <a:off x="19226244" y="31619189"/>
          <a:ext cx="8336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862044</xdr:colOff>
      <xdr:row>206</xdr:row>
      <xdr:rowOff>76199</xdr:rowOff>
    </xdr:from>
    <xdr:to>
      <xdr:col>34</xdr:col>
      <xdr:colOff>862044</xdr:colOff>
      <xdr:row>206</xdr:row>
      <xdr:rowOff>76199</xdr:rowOff>
    </xdr:to>
    <xdr:cxnSp macro="">
      <xdr:nvCxnSpPr>
        <xdr:cNvPr id="143285" name="직선 화살표 연결선 143284">
          <a:extLst>
            <a:ext uri="{FF2B5EF4-FFF2-40B4-BE49-F238E27FC236}">
              <a16:creationId xmlns:a16="http://schemas.microsoft.com/office/drawing/2014/main" id="{00000000-0008-0000-0100-0000B52F0200}"/>
            </a:ext>
          </a:extLst>
        </xdr:cNvPr>
        <xdr:cNvCxnSpPr/>
      </xdr:nvCxnSpPr>
      <xdr:spPr>
        <a:xfrm>
          <a:off x="19226244" y="316763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779945</xdr:colOff>
      <xdr:row>205</xdr:row>
      <xdr:rowOff>19049</xdr:rowOff>
    </xdr:from>
    <xdr:to>
      <xdr:col>34</xdr:col>
      <xdr:colOff>863313</xdr:colOff>
      <xdr:row>205</xdr:row>
      <xdr:rowOff>133349</xdr:rowOff>
    </xdr:to>
    <xdr:sp macro="" textlink="">
      <xdr:nvSpPr>
        <xdr:cNvPr id="143286" name="202">
          <a:extLst>
            <a:ext uri="{FF2B5EF4-FFF2-40B4-BE49-F238E27FC236}">
              <a16:creationId xmlns:a16="http://schemas.microsoft.com/office/drawing/2014/main" id="{00000000-0008-0000-0100-0000B62F0200}"/>
            </a:ext>
          </a:extLst>
        </xdr:cNvPr>
        <xdr:cNvSpPr/>
      </xdr:nvSpPr>
      <xdr:spPr>
        <a:xfrm>
          <a:off x="19144145" y="31466789"/>
          <a:ext cx="8336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779945</xdr:colOff>
      <xdr:row>205</xdr:row>
      <xdr:rowOff>76199</xdr:rowOff>
    </xdr:from>
    <xdr:to>
      <xdr:col>34</xdr:col>
      <xdr:colOff>779945</xdr:colOff>
      <xdr:row>205</xdr:row>
      <xdr:rowOff>76199</xdr:rowOff>
    </xdr:to>
    <xdr:cxnSp macro="">
      <xdr:nvCxnSpPr>
        <xdr:cNvPr id="143287" name="직선 화살표 연결선 143286">
          <a:extLst>
            <a:ext uri="{FF2B5EF4-FFF2-40B4-BE49-F238E27FC236}">
              <a16:creationId xmlns:a16="http://schemas.microsoft.com/office/drawing/2014/main" id="{00000000-0008-0000-0100-0000B72F0200}"/>
            </a:ext>
          </a:extLst>
        </xdr:cNvPr>
        <xdr:cNvCxnSpPr/>
      </xdr:nvCxnSpPr>
      <xdr:spPr>
        <a:xfrm>
          <a:off x="19144145" y="315239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615745</xdr:colOff>
      <xdr:row>204</xdr:row>
      <xdr:rowOff>19049</xdr:rowOff>
    </xdr:from>
    <xdr:to>
      <xdr:col>34</xdr:col>
      <xdr:colOff>781214</xdr:colOff>
      <xdr:row>204</xdr:row>
      <xdr:rowOff>133349</xdr:rowOff>
    </xdr:to>
    <xdr:sp macro="" textlink="">
      <xdr:nvSpPr>
        <xdr:cNvPr id="143288" name="201">
          <a:extLst>
            <a:ext uri="{FF2B5EF4-FFF2-40B4-BE49-F238E27FC236}">
              <a16:creationId xmlns:a16="http://schemas.microsoft.com/office/drawing/2014/main" id="{00000000-0008-0000-0100-0000B82F0200}"/>
            </a:ext>
          </a:extLst>
        </xdr:cNvPr>
        <xdr:cNvSpPr/>
      </xdr:nvSpPr>
      <xdr:spPr>
        <a:xfrm>
          <a:off x="18979945" y="31314389"/>
          <a:ext cx="16546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615745</xdr:colOff>
      <xdr:row>204</xdr:row>
      <xdr:rowOff>76199</xdr:rowOff>
    </xdr:from>
    <xdr:to>
      <xdr:col>34</xdr:col>
      <xdr:colOff>615745</xdr:colOff>
      <xdr:row>204</xdr:row>
      <xdr:rowOff>76199</xdr:rowOff>
    </xdr:to>
    <xdr:cxnSp macro="">
      <xdr:nvCxnSpPr>
        <xdr:cNvPr id="143289" name="직선 화살표 연결선 143288">
          <a:extLst>
            <a:ext uri="{FF2B5EF4-FFF2-40B4-BE49-F238E27FC236}">
              <a16:creationId xmlns:a16="http://schemas.microsoft.com/office/drawing/2014/main" id="{00000000-0008-0000-0100-0000B92F0200}"/>
            </a:ext>
          </a:extLst>
        </xdr:cNvPr>
        <xdr:cNvCxnSpPr/>
      </xdr:nvCxnSpPr>
      <xdr:spPr>
        <a:xfrm>
          <a:off x="18979945" y="313715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533646</xdr:colOff>
      <xdr:row>203</xdr:row>
      <xdr:rowOff>19049</xdr:rowOff>
    </xdr:from>
    <xdr:to>
      <xdr:col>34</xdr:col>
      <xdr:colOff>617015</xdr:colOff>
      <xdr:row>203</xdr:row>
      <xdr:rowOff>133349</xdr:rowOff>
    </xdr:to>
    <xdr:sp macro="" textlink="">
      <xdr:nvSpPr>
        <xdr:cNvPr id="143290" name="200">
          <a:extLst>
            <a:ext uri="{FF2B5EF4-FFF2-40B4-BE49-F238E27FC236}">
              <a16:creationId xmlns:a16="http://schemas.microsoft.com/office/drawing/2014/main" id="{00000000-0008-0000-0100-0000BA2F0200}"/>
            </a:ext>
          </a:extLst>
        </xdr:cNvPr>
        <xdr:cNvSpPr/>
      </xdr:nvSpPr>
      <xdr:spPr>
        <a:xfrm>
          <a:off x="18897846" y="31161989"/>
          <a:ext cx="8336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533646</xdr:colOff>
      <xdr:row>203</xdr:row>
      <xdr:rowOff>76199</xdr:rowOff>
    </xdr:from>
    <xdr:to>
      <xdr:col>34</xdr:col>
      <xdr:colOff>533646</xdr:colOff>
      <xdr:row>203</xdr:row>
      <xdr:rowOff>76199</xdr:rowOff>
    </xdr:to>
    <xdr:cxnSp macro="">
      <xdr:nvCxnSpPr>
        <xdr:cNvPr id="143291" name="직선 화살표 연결선 143290">
          <a:extLst>
            <a:ext uri="{FF2B5EF4-FFF2-40B4-BE49-F238E27FC236}">
              <a16:creationId xmlns:a16="http://schemas.microsoft.com/office/drawing/2014/main" id="{00000000-0008-0000-0100-0000BB2F0200}"/>
            </a:ext>
          </a:extLst>
        </xdr:cNvPr>
        <xdr:cNvCxnSpPr/>
      </xdr:nvCxnSpPr>
      <xdr:spPr>
        <a:xfrm>
          <a:off x="18897846" y="312191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533646</xdr:colOff>
      <xdr:row>202</xdr:row>
      <xdr:rowOff>19049</xdr:rowOff>
    </xdr:from>
    <xdr:to>
      <xdr:col>34</xdr:col>
      <xdr:colOff>1232760</xdr:colOff>
      <xdr:row>202</xdr:row>
      <xdr:rowOff>133349</xdr:rowOff>
    </xdr:to>
    <xdr:sp macro="" textlink="">
      <xdr:nvSpPr>
        <xdr:cNvPr id="143292" name="199">
          <a:extLst>
            <a:ext uri="{FF2B5EF4-FFF2-40B4-BE49-F238E27FC236}">
              <a16:creationId xmlns:a16="http://schemas.microsoft.com/office/drawing/2014/main" id="{00000000-0008-0000-0100-0000BC2F0200}"/>
            </a:ext>
          </a:extLst>
        </xdr:cNvPr>
        <xdr:cNvSpPr/>
      </xdr:nvSpPr>
      <xdr:spPr>
        <a:xfrm>
          <a:off x="18897846" y="31009589"/>
          <a:ext cx="69911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533646</xdr:colOff>
      <xdr:row>202</xdr:row>
      <xdr:rowOff>76199</xdr:rowOff>
    </xdr:from>
    <xdr:to>
      <xdr:col>34</xdr:col>
      <xdr:colOff>533646</xdr:colOff>
      <xdr:row>202</xdr:row>
      <xdr:rowOff>76199</xdr:rowOff>
    </xdr:to>
    <xdr:cxnSp macro="">
      <xdr:nvCxnSpPr>
        <xdr:cNvPr id="143293" name="직선 화살표 연결선 143292">
          <a:extLst>
            <a:ext uri="{FF2B5EF4-FFF2-40B4-BE49-F238E27FC236}">
              <a16:creationId xmlns:a16="http://schemas.microsoft.com/office/drawing/2014/main" id="{00000000-0008-0000-0100-0000BD2F0200}"/>
            </a:ext>
          </a:extLst>
        </xdr:cNvPr>
        <xdr:cNvCxnSpPr/>
      </xdr:nvCxnSpPr>
      <xdr:spPr>
        <a:xfrm>
          <a:off x="18897846" y="310667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246298</xdr:colOff>
      <xdr:row>201</xdr:row>
      <xdr:rowOff>19049</xdr:rowOff>
    </xdr:from>
    <xdr:to>
      <xdr:col>34</xdr:col>
      <xdr:colOff>534916</xdr:colOff>
      <xdr:row>201</xdr:row>
      <xdr:rowOff>133349</xdr:rowOff>
    </xdr:to>
    <xdr:sp macro="" textlink="">
      <xdr:nvSpPr>
        <xdr:cNvPr id="143294" name="198">
          <a:extLst>
            <a:ext uri="{FF2B5EF4-FFF2-40B4-BE49-F238E27FC236}">
              <a16:creationId xmlns:a16="http://schemas.microsoft.com/office/drawing/2014/main" id="{00000000-0008-0000-0100-0000BE2F0200}"/>
            </a:ext>
          </a:extLst>
        </xdr:cNvPr>
        <xdr:cNvSpPr/>
      </xdr:nvSpPr>
      <xdr:spPr>
        <a:xfrm>
          <a:off x="18610498" y="30857189"/>
          <a:ext cx="28861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246298</xdr:colOff>
      <xdr:row>201</xdr:row>
      <xdr:rowOff>76199</xdr:rowOff>
    </xdr:from>
    <xdr:to>
      <xdr:col>34</xdr:col>
      <xdr:colOff>246298</xdr:colOff>
      <xdr:row>201</xdr:row>
      <xdr:rowOff>76199</xdr:rowOff>
    </xdr:to>
    <xdr:cxnSp macro="">
      <xdr:nvCxnSpPr>
        <xdr:cNvPr id="143295" name="직선 화살표 연결선 143294">
          <a:extLst>
            <a:ext uri="{FF2B5EF4-FFF2-40B4-BE49-F238E27FC236}">
              <a16:creationId xmlns:a16="http://schemas.microsoft.com/office/drawing/2014/main" id="{00000000-0008-0000-0100-0000BF2F0200}"/>
            </a:ext>
          </a:extLst>
        </xdr:cNvPr>
        <xdr:cNvCxnSpPr/>
      </xdr:nvCxnSpPr>
      <xdr:spPr>
        <a:xfrm>
          <a:off x="18610498" y="309143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246298</xdr:colOff>
      <xdr:row>200</xdr:row>
      <xdr:rowOff>19049</xdr:rowOff>
    </xdr:from>
    <xdr:to>
      <xdr:col>34</xdr:col>
      <xdr:colOff>1232760</xdr:colOff>
      <xdr:row>200</xdr:row>
      <xdr:rowOff>133349</xdr:rowOff>
    </xdr:to>
    <xdr:sp macro="" textlink="">
      <xdr:nvSpPr>
        <xdr:cNvPr id="143296" name="197">
          <a:extLst>
            <a:ext uri="{FF2B5EF4-FFF2-40B4-BE49-F238E27FC236}">
              <a16:creationId xmlns:a16="http://schemas.microsoft.com/office/drawing/2014/main" id="{00000000-0008-0000-0100-0000C02F0200}"/>
            </a:ext>
          </a:extLst>
        </xdr:cNvPr>
        <xdr:cNvSpPr/>
      </xdr:nvSpPr>
      <xdr:spPr>
        <a:xfrm>
          <a:off x="18610498" y="30704789"/>
          <a:ext cx="98646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246298</xdr:colOff>
      <xdr:row>200</xdr:row>
      <xdr:rowOff>76199</xdr:rowOff>
    </xdr:from>
    <xdr:to>
      <xdr:col>34</xdr:col>
      <xdr:colOff>246298</xdr:colOff>
      <xdr:row>200</xdr:row>
      <xdr:rowOff>76199</xdr:rowOff>
    </xdr:to>
    <xdr:cxnSp macro="">
      <xdr:nvCxnSpPr>
        <xdr:cNvPr id="143297" name="직선 화살표 연결선 143296">
          <a:extLst>
            <a:ext uri="{FF2B5EF4-FFF2-40B4-BE49-F238E27FC236}">
              <a16:creationId xmlns:a16="http://schemas.microsoft.com/office/drawing/2014/main" id="{00000000-0008-0000-0100-0000C12F0200}"/>
            </a:ext>
          </a:extLst>
        </xdr:cNvPr>
        <xdr:cNvCxnSpPr/>
      </xdr:nvCxnSpPr>
      <xdr:spPr>
        <a:xfrm>
          <a:off x="18610498" y="307619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164199</xdr:colOff>
      <xdr:row>199</xdr:row>
      <xdr:rowOff>19049</xdr:rowOff>
    </xdr:from>
    <xdr:to>
      <xdr:col>34</xdr:col>
      <xdr:colOff>247568</xdr:colOff>
      <xdr:row>199</xdr:row>
      <xdr:rowOff>133349</xdr:rowOff>
    </xdr:to>
    <xdr:sp macro="" textlink="">
      <xdr:nvSpPr>
        <xdr:cNvPr id="143298" name="196">
          <a:extLst>
            <a:ext uri="{FF2B5EF4-FFF2-40B4-BE49-F238E27FC236}">
              <a16:creationId xmlns:a16="http://schemas.microsoft.com/office/drawing/2014/main" id="{00000000-0008-0000-0100-0000C22F0200}"/>
            </a:ext>
          </a:extLst>
        </xdr:cNvPr>
        <xdr:cNvSpPr/>
      </xdr:nvSpPr>
      <xdr:spPr>
        <a:xfrm>
          <a:off x="18528399" y="30552389"/>
          <a:ext cx="8336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164199</xdr:colOff>
      <xdr:row>199</xdr:row>
      <xdr:rowOff>76199</xdr:rowOff>
    </xdr:from>
    <xdr:to>
      <xdr:col>34</xdr:col>
      <xdr:colOff>164199</xdr:colOff>
      <xdr:row>199</xdr:row>
      <xdr:rowOff>76199</xdr:rowOff>
    </xdr:to>
    <xdr:cxnSp macro="">
      <xdr:nvCxnSpPr>
        <xdr:cNvPr id="143299" name="직선 화살표 연결선 143298">
          <a:extLst>
            <a:ext uri="{FF2B5EF4-FFF2-40B4-BE49-F238E27FC236}">
              <a16:creationId xmlns:a16="http://schemas.microsoft.com/office/drawing/2014/main" id="{00000000-0008-0000-0100-0000C32F0200}"/>
            </a:ext>
          </a:extLst>
        </xdr:cNvPr>
        <xdr:cNvCxnSpPr/>
      </xdr:nvCxnSpPr>
      <xdr:spPr>
        <a:xfrm>
          <a:off x="18528399" y="306095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164199</xdr:colOff>
      <xdr:row>198</xdr:row>
      <xdr:rowOff>19049</xdr:rowOff>
    </xdr:from>
    <xdr:to>
      <xdr:col>34</xdr:col>
      <xdr:colOff>1232760</xdr:colOff>
      <xdr:row>198</xdr:row>
      <xdr:rowOff>133349</xdr:rowOff>
    </xdr:to>
    <xdr:sp macro="" textlink="">
      <xdr:nvSpPr>
        <xdr:cNvPr id="143300" name="195">
          <a:extLst>
            <a:ext uri="{FF2B5EF4-FFF2-40B4-BE49-F238E27FC236}">
              <a16:creationId xmlns:a16="http://schemas.microsoft.com/office/drawing/2014/main" id="{00000000-0008-0000-0100-0000C42F0200}"/>
            </a:ext>
          </a:extLst>
        </xdr:cNvPr>
        <xdr:cNvSpPr/>
      </xdr:nvSpPr>
      <xdr:spPr>
        <a:xfrm>
          <a:off x="18528399" y="30399989"/>
          <a:ext cx="106856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164199</xdr:colOff>
      <xdr:row>198</xdr:row>
      <xdr:rowOff>76199</xdr:rowOff>
    </xdr:from>
    <xdr:to>
      <xdr:col>34</xdr:col>
      <xdr:colOff>164199</xdr:colOff>
      <xdr:row>198</xdr:row>
      <xdr:rowOff>76199</xdr:rowOff>
    </xdr:to>
    <xdr:cxnSp macro="">
      <xdr:nvCxnSpPr>
        <xdr:cNvPr id="143301" name="직선 화살표 연결선 143300">
          <a:extLst>
            <a:ext uri="{FF2B5EF4-FFF2-40B4-BE49-F238E27FC236}">
              <a16:creationId xmlns:a16="http://schemas.microsoft.com/office/drawing/2014/main" id="{00000000-0008-0000-0100-0000C52F0200}"/>
            </a:ext>
          </a:extLst>
        </xdr:cNvPr>
        <xdr:cNvCxnSpPr/>
      </xdr:nvCxnSpPr>
      <xdr:spPr>
        <a:xfrm>
          <a:off x="18528399" y="304571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551434</xdr:colOff>
      <xdr:row>197</xdr:row>
      <xdr:rowOff>19049</xdr:rowOff>
    </xdr:from>
    <xdr:to>
      <xdr:col>34</xdr:col>
      <xdr:colOff>83369</xdr:colOff>
      <xdr:row>197</xdr:row>
      <xdr:rowOff>133349</xdr:rowOff>
    </xdr:to>
    <xdr:sp macro="" textlink="">
      <xdr:nvSpPr>
        <xdr:cNvPr id="143302" name="194">
          <a:extLst>
            <a:ext uri="{FF2B5EF4-FFF2-40B4-BE49-F238E27FC236}">
              <a16:creationId xmlns:a16="http://schemas.microsoft.com/office/drawing/2014/main" id="{00000000-0008-0000-0100-0000C62F0200}"/>
            </a:ext>
          </a:extLst>
        </xdr:cNvPr>
        <xdr:cNvSpPr/>
      </xdr:nvSpPr>
      <xdr:spPr>
        <a:xfrm>
          <a:off x="17643094" y="30247589"/>
          <a:ext cx="80447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551434</xdr:colOff>
      <xdr:row>197</xdr:row>
      <xdr:rowOff>76199</xdr:rowOff>
    </xdr:from>
    <xdr:to>
      <xdr:col>33</xdr:col>
      <xdr:colOff>551434</xdr:colOff>
      <xdr:row>197</xdr:row>
      <xdr:rowOff>76199</xdr:rowOff>
    </xdr:to>
    <xdr:cxnSp macro="">
      <xdr:nvCxnSpPr>
        <xdr:cNvPr id="143303" name="직선 화살표 연결선 143302">
          <a:extLst>
            <a:ext uri="{FF2B5EF4-FFF2-40B4-BE49-F238E27FC236}">
              <a16:creationId xmlns:a16="http://schemas.microsoft.com/office/drawing/2014/main" id="{00000000-0008-0000-0100-0000C72F0200}"/>
            </a:ext>
          </a:extLst>
        </xdr:cNvPr>
        <xdr:cNvCxnSpPr/>
      </xdr:nvCxnSpPr>
      <xdr:spPr>
        <a:xfrm>
          <a:off x="17643094" y="303047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381762</xdr:colOff>
      <xdr:row>196</xdr:row>
      <xdr:rowOff>19049</xdr:rowOff>
    </xdr:from>
    <xdr:to>
      <xdr:col>33</xdr:col>
      <xdr:colOff>467868</xdr:colOff>
      <xdr:row>196</xdr:row>
      <xdr:rowOff>133349</xdr:rowOff>
    </xdr:to>
    <xdr:sp macro="" textlink="">
      <xdr:nvSpPr>
        <xdr:cNvPr id="143304" name="193">
          <a:extLst>
            <a:ext uri="{FF2B5EF4-FFF2-40B4-BE49-F238E27FC236}">
              <a16:creationId xmlns:a16="http://schemas.microsoft.com/office/drawing/2014/main" id="{00000000-0008-0000-0100-0000C82F0200}"/>
            </a:ext>
          </a:extLst>
        </xdr:cNvPr>
        <xdr:cNvSpPr/>
      </xdr:nvSpPr>
      <xdr:spPr>
        <a:xfrm>
          <a:off x="17473422" y="30095189"/>
          <a:ext cx="8610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381762</xdr:colOff>
      <xdr:row>196</xdr:row>
      <xdr:rowOff>76199</xdr:rowOff>
    </xdr:from>
    <xdr:to>
      <xdr:col>33</xdr:col>
      <xdr:colOff>466598</xdr:colOff>
      <xdr:row>196</xdr:row>
      <xdr:rowOff>76199</xdr:rowOff>
    </xdr:to>
    <xdr:cxnSp macro="">
      <xdr:nvCxnSpPr>
        <xdr:cNvPr id="143305" name="직선 화살표 연결선 143304">
          <a:extLst>
            <a:ext uri="{FF2B5EF4-FFF2-40B4-BE49-F238E27FC236}">
              <a16:creationId xmlns:a16="http://schemas.microsoft.com/office/drawing/2014/main" id="{00000000-0008-0000-0100-0000C92F0200}"/>
            </a:ext>
          </a:extLst>
        </xdr:cNvPr>
        <xdr:cNvCxnSpPr/>
      </xdr:nvCxnSpPr>
      <xdr:spPr>
        <a:xfrm>
          <a:off x="17473422" y="30152339"/>
          <a:ext cx="848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296927</xdr:colOff>
      <xdr:row>195</xdr:row>
      <xdr:rowOff>19049</xdr:rowOff>
    </xdr:from>
    <xdr:to>
      <xdr:col>33</xdr:col>
      <xdr:colOff>383032</xdr:colOff>
      <xdr:row>195</xdr:row>
      <xdr:rowOff>133349</xdr:rowOff>
    </xdr:to>
    <xdr:sp macro="" textlink="">
      <xdr:nvSpPr>
        <xdr:cNvPr id="143306" name="192">
          <a:extLst>
            <a:ext uri="{FF2B5EF4-FFF2-40B4-BE49-F238E27FC236}">
              <a16:creationId xmlns:a16="http://schemas.microsoft.com/office/drawing/2014/main" id="{00000000-0008-0000-0100-0000CA2F0200}"/>
            </a:ext>
          </a:extLst>
        </xdr:cNvPr>
        <xdr:cNvSpPr/>
      </xdr:nvSpPr>
      <xdr:spPr>
        <a:xfrm>
          <a:off x="17388587" y="29942789"/>
          <a:ext cx="8610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296927</xdr:colOff>
      <xdr:row>195</xdr:row>
      <xdr:rowOff>76199</xdr:rowOff>
    </xdr:from>
    <xdr:to>
      <xdr:col>33</xdr:col>
      <xdr:colOff>381762</xdr:colOff>
      <xdr:row>195</xdr:row>
      <xdr:rowOff>76199</xdr:rowOff>
    </xdr:to>
    <xdr:cxnSp macro="">
      <xdr:nvCxnSpPr>
        <xdr:cNvPr id="143307" name="직선 화살표 연결선 143306">
          <a:extLst>
            <a:ext uri="{FF2B5EF4-FFF2-40B4-BE49-F238E27FC236}">
              <a16:creationId xmlns:a16="http://schemas.microsoft.com/office/drawing/2014/main" id="{00000000-0008-0000-0100-0000CB2F0200}"/>
            </a:ext>
          </a:extLst>
        </xdr:cNvPr>
        <xdr:cNvCxnSpPr/>
      </xdr:nvCxnSpPr>
      <xdr:spPr>
        <a:xfrm>
          <a:off x="17388587" y="29999939"/>
          <a:ext cx="8483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127253</xdr:colOff>
      <xdr:row>194</xdr:row>
      <xdr:rowOff>19049</xdr:rowOff>
    </xdr:from>
    <xdr:to>
      <xdr:col>33</xdr:col>
      <xdr:colOff>298196</xdr:colOff>
      <xdr:row>194</xdr:row>
      <xdr:rowOff>133349</xdr:rowOff>
    </xdr:to>
    <xdr:sp macro="" textlink="">
      <xdr:nvSpPr>
        <xdr:cNvPr id="143308" name="191">
          <a:extLst>
            <a:ext uri="{FF2B5EF4-FFF2-40B4-BE49-F238E27FC236}">
              <a16:creationId xmlns:a16="http://schemas.microsoft.com/office/drawing/2014/main" id="{00000000-0008-0000-0100-0000CC2F0200}"/>
            </a:ext>
          </a:extLst>
        </xdr:cNvPr>
        <xdr:cNvSpPr/>
      </xdr:nvSpPr>
      <xdr:spPr>
        <a:xfrm>
          <a:off x="17218913" y="29790389"/>
          <a:ext cx="17094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127253</xdr:colOff>
      <xdr:row>194</xdr:row>
      <xdr:rowOff>76199</xdr:rowOff>
    </xdr:from>
    <xdr:to>
      <xdr:col>33</xdr:col>
      <xdr:colOff>127253</xdr:colOff>
      <xdr:row>194</xdr:row>
      <xdr:rowOff>76199</xdr:rowOff>
    </xdr:to>
    <xdr:cxnSp macro="">
      <xdr:nvCxnSpPr>
        <xdr:cNvPr id="143309" name="직선 화살표 연결선 143308">
          <a:extLst>
            <a:ext uri="{FF2B5EF4-FFF2-40B4-BE49-F238E27FC236}">
              <a16:creationId xmlns:a16="http://schemas.microsoft.com/office/drawing/2014/main" id="{00000000-0008-0000-0100-0000CD2F0200}"/>
            </a:ext>
          </a:extLst>
        </xdr:cNvPr>
        <xdr:cNvCxnSpPr/>
      </xdr:nvCxnSpPr>
      <xdr:spPr>
        <a:xfrm>
          <a:off x="17218913" y="29847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42418</xdr:colOff>
      <xdr:row>193</xdr:row>
      <xdr:rowOff>19049</xdr:rowOff>
    </xdr:from>
    <xdr:to>
      <xdr:col>33</xdr:col>
      <xdr:colOff>128523</xdr:colOff>
      <xdr:row>193</xdr:row>
      <xdr:rowOff>133349</xdr:rowOff>
    </xdr:to>
    <xdr:sp macro="" textlink="">
      <xdr:nvSpPr>
        <xdr:cNvPr id="143310" name="190">
          <a:extLst>
            <a:ext uri="{FF2B5EF4-FFF2-40B4-BE49-F238E27FC236}">
              <a16:creationId xmlns:a16="http://schemas.microsoft.com/office/drawing/2014/main" id="{00000000-0008-0000-0100-0000CE2F0200}"/>
            </a:ext>
          </a:extLst>
        </xdr:cNvPr>
        <xdr:cNvSpPr/>
      </xdr:nvSpPr>
      <xdr:spPr>
        <a:xfrm>
          <a:off x="17134078" y="29637989"/>
          <a:ext cx="8610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42418</xdr:colOff>
      <xdr:row>193</xdr:row>
      <xdr:rowOff>76199</xdr:rowOff>
    </xdr:from>
    <xdr:to>
      <xdr:col>33</xdr:col>
      <xdr:colOff>42418</xdr:colOff>
      <xdr:row>193</xdr:row>
      <xdr:rowOff>76199</xdr:rowOff>
    </xdr:to>
    <xdr:cxnSp macro="">
      <xdr:nvCxnSpPr>
        <xdr:cNvPr id="143311" name="직선 화살표 연결선 143310">
          <a:extLst>
            <a:ext uri="{FF2B5EF4-FFF2-40B4-BE49-F238E27FC236}">
              <a16:creationId xmlns:a16="http://schemas.microsoft.com/office/drawing/2014/main" id="{00000000-0008-0000-0100-0000CF2F0200}"/>
            </a:ext>
          </a:extLst>
        </xdr:cNvPr>
        <xdr:cNvCxnSpPr/>
      </xdr:nvCxnSpPr>
      <xdr:spPr>
        <a:xfrm>
          <a:off x="17134078" y="29695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1231490</xdr:colOff>
      <xdr:row>192</xdr:row>
      <xdr:rowOff>19049</xdr:rowOff>
    </xdr:from>
    <xdr:to>
      <xdr:col>33</xdr:col>
      <xdr:colOff>43688</xdr:colOff>
      <xdr:row>192</xdr:row>
      <xdr:rowOff>133349</xdr:rowOff>
    </xdr:to>
    <xdr:sp macro="" textlink="">
      <xdr:nvSpPr>
        <xdr:cNvPr id="143312" name="189">
          <a:extLst>
            <a:ext uri="{FF2B5EF4-FFF2-40B4-BE49-F238E27FC236}">
              <a16:creationId xmlns:a16="http://schemas.microsoft.com/office/drawing/2014/main" id="{00000000-0008-0000-0100-0000D02F0200}"/>
            </a:ext>
          </a:extLst>
        </xdr:cNvPr>
        <xdr:cNvSpPr/>
      </xdr:nvSpPr>
      <xdr:spPr>
        <a:xfrm>
          <a:off x="17050610" y="29485589"/>
          <a:ext cx="8473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1231490</xdr:colOff>
      <xdr:row>192</xdr:row>
      <xdr:rowOff>76199</xdr:rowOff>
    </xdr:from>
    <xdr:to>
      <xdr:col>33</xdr:col>
      <xdr:colOff>42418</xdr:colOff>
      <xdr:row>192</xdr:row>
      <xdr:rowOff>76199</xdr:rowOff>
    </xdr:to>
    <xdr:cxnSp macro="">
      <xdr:nvCxnSpPr>
        <xdr:cNvPr id="143313" name="직선 화살표 연결선 143312">
          <a:extLst>
            <a:ext uri="{FF2B5EF4-FFF2-40B4-BE49-F238E27FC236}">
              <a16:creationId xmlns:a16="http://schemas.microsoft.com/office/drawing/2014/main" id="{00000000-0008-0000-0100-0000D12F0200}"/>
            </a:ext>
          </a:extLst>
        </xdr:cNvPr>
        <xdr:cNvCxnSpPr/>
      </xdr:nvCxnSpPr>
      <xdr:spPr>
        <a:xfrm>
          <a:off x="17050610" y="29542739"/>
          <a:ext cx="8346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1067291</xdr:colOff>
      <xdr:row>191</xdr:row>
      <xdr:rowOff>19049</xdr:rowOff>
    </xdr:from>
    <xdr:to>
      <xdr:col>32</xdr:col>
      <xdr:colOff>1150661</xdr:colOff>
      <xdr:row>191</xdr:row>
      <xdr:rowOff>133349</xdr:rowOff>
    </xdr:to>
    <xdr:sp macro="" textlink="">
      <xdr:nvSpPr>
        <xdr:cNvPr id="143314" name="188">
          <a:extLst>
            <a:ext uri="{FF2B5EF4-FFF2-40B4-BE49-F238E27FC236}">
              <a16:creationId xmlns:a16="http://schemas.microsoft.com/office/drawing/2014/main" id="{00000000-0008-0000-0100-0000D22F0200}"/>
            </a:ext>
          </a:extLst>
        </xdr:cNvPr>
        <xdr:cNvSpPr/>
      </xdr:nvSpPr>
      <xdr:spPr>
        <a:xfrm>
          <a:off x="16886411" y="29333189"/>
          <a:ext cx="833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1067291</xdr:colOff>
      <xdr:row>191</xdr:row>
      <xdr:rowOff>76199</xdr:rowOff>
    </xdr:from>
    <xdr:to>
      <xdr:col>32</xdr:col>
      <xdr:colOff>1149392</xdr:colOff>
      <xdr:row>191</xdr:row>
      <xdr:rowOff>76199</xdr:rowOff>
    </xdr:to>
    <xdr:cxnSp macro="">
      <xdr:nvCxnSpPr>
        <xdr:cNvPr id="143315" name="직선 화살표 연결선 143314">
          <a:extLst>
            <a:ext uri="{FF2B5EF4-FFF2-40B4-BE49-F238E27FC236}">
              <a16:creationId xmlns:a16="http://schemas.microsoft.com/office/drawing/2014/main" id="{00000000-0008-0000-0100-0000D32F0200}"/>
            </a:ext>
          </a:extLst>
        </xdr:cNvPr>
        <xdr:cNvCxnSpPr/>
      </xdr:nvCxnSpPr>
      <xdr:spPr>
        <a:xfrm>
          <a:off x="16886411" y="29390339"/>
          <a:ext cx="8210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985192</xdr:colOff>
      <xdr:row>190</xdr:row>
      <xdr:rowOff>19049</xdr:rowOff>
    </xdr:from>
    <xdr:to>
      <xdr:col>32</xdr:col>
      <xdr:colOff>1068561</xdr:colOff>
      <xdr:row>190</xdr:row>
      <xdr:rowOff>133349</xdr:rowOff>
    </xdr:to>
    <xdr:sp macro="" textlink="">
      <xdr:nvSpPr>
        <xdr:cNvPr id="143316" name="187">
          <a:extLst>
            <a:ext uri="{FF2B5EF4-FFF2-40B4-BE49-F238E27FC236}">
              <a16:creationId xmlns:a16="http://schemas.microsoft.com/office/drawing/2014/main" id="{00000000-0008-0000-0100-0000D42F0200}"/>
            </a:ext>
          </a:extLst>
        </xdr:cNvPr>
        <xdr:cNvSpPr/>
      </xdr:nvSpPr>
      <xdr:spPr>
        <a:xfrm>
          <a:off x="16804312" y="29180789"/>
          <a:ext cx="8336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985192</xdr:colOff>
      <xdr:row>190</xdr:row>
      <xdr:rowOff>76199</xdr:rowOff>
    </xdr:from>
    <xdr:to>
      <xdr:col>32</xdr:col>
      <xdr:colOff>1067291</xdr:colOff>
      <xdr:row>190</xdr:row>
      <xdr:rowOff>76199</xdr:rowOff>
    </xdr:to>
    <xdr:cxnSp macro="">
      <xdr:nvCxnSpPr>
        <xdr:cNvPr id="143317" name="직선 화살표 연결선 143316">
          <a:extLst>
            <a:ext uri="{FF2B5EF4-FFF2-40B4-BE49-F238E27FC236}">
              <a16:creationId xmlns:a16="http://schemas.microsoft.com/office/drawing/2014/main" id="{00000000-0008-0000-0100-0000D52F0200}"/>
            </a:ext>
          </a:extLst>
        </xdr:cNvPr>
        <xdr:cNvCxnSpPr/>
      </xdr:nvCxnSpPr>
      <xdr:spPr>
        <a:xfrm>
          <a:off x="16804312" y="29237939"/>
          <a:ext cx="8209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820993</xdr:colOff>
      <xdr:row>189</xdr:row>
      <xdr:rowOff>19049</xdr:rowOff>
    </xdr:from>
    <xdr:to>
      <xdr:col>32</xdr:col>
      <xdr:colOff>986462</xdr:colOff>
      <xdr:row>189</xdr:row>
      <xdr:rowOff>133349</xdr:rowOff>
    </xdr:to>
    <xdr:sp macro="" textlink="">
      <xdr:nvSpPr>
        <xdr:cNvPr id="143318" name="186">
          <a:extLst>
            <a:ext uri="{FF2B5EF4-FFF2-40B4-BE49-F238E27FC236}">
              <a16:creationId xmlns:a16="http://schemas.microsoft.com/office/drawing/2014/main" id="{00000000-0008-0000-0100-0000D62F0200}"/>
            </a:ext>
          </a:extLst>
        </xdr:cNvPr>
        <xdr:cNvSpPr/>
      </xdr:nvSpPr>
      <xdr:spPr>
        <a:xfrm>
          <a:off x="16640113" y="29028389"/>
          <a:ext cx="16546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820993</xdr:colOff>
      <xdr:row>189</xdr:row>
      <xdr:rowOff>76199</xdr:rowOff>
    </xdr:from>
    <xdr:to>
      <xdr:col>32</xdr:col>
      <xdr:colOff>985192</xdr:colOff>
      <xdr:row>189</xdr:row>
      <xdr:rowOff>76199</xdr:rowOff>
    </xdr:to>
    <xdr:cxnSp macro="">
      <xdr:nvCxnSpPr>
        <xdr:cNvPr id="143319" name="직선 화살표 연결선 143318">
          <a:extLst>
            <a:ext uri="{FF2B5EF4-FFF2-40B4-BE49-F238E27FC236}">
              <a16:creationId xmlns:a16="http://schemas.microsoft.com/office/drawing/2014/main" id="{00000000-0008-0000-0100-0000D72F0200}"/>
            </a:ext>
          </a:extLst>
        </xdr:cNvPr>
        <xdr:cNvCxnSpPr/>
      </xdr:nvCxnSpPr>
      <xdr:spPr>
        <a:xfrm>
          <a:off x="16640113" y="29085539"/>
          <a:ext cx="16419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738894</xdr:colOff>
      <xdr:row>188</xdr:row>
      <xdr:rowOff>19049</xdr:rowOff>
    </xdr:from>
    <xdr:to>
      <xdr:col>32</xdr:col>
      <xdr:colOff>822263</xdr:colOff>
      <xdr:row>188</xdr:row>
      <xdr:rowOff>133349</xdr:rowOff>
    </xdr:to>
    <xdr:sp macro="" textlink="">
      <xdr:nvSpPr>
        <xdr:cNvPr id="143320" name="185">
          <a:extLst>
            <a:ext uri="{FF2B5EF4-FFF2-40B4-BE49-F238E27FC236}">
              <a16:creationId xmlns:a16="http://schemas.microsoft.com/office/drawing/2014/main" id="{00000000-0008-0000-0100-0000D82F0200}"/>
            </a:ext>
          </a:extLst>
        </xdr:cNvPr>
        <xdr:cNvSpPr/>
      </xdr:nvSpPr>
      <xdr:spPr>
        <a:xfrm>
          <a:off x="16558014" y="28875989"/>
          <a:ext cx="8336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738894</xdr:colOff>
      <xdr:row>188</xdr:row>
      <xdr:rowOff>76199</xdr:rowOff>
    </xdr:from>
    <xdr:to>
      <xdr:col>32</xdr:col>
      <xdr:colOff>820993</xdr:colOff>
      <xdr:row>188</xdr:row>
      <xdr:rowOff>76199</xdr:rowOff>
    </xdr:to>
    <xdr:cxnSp macro="">
      <xdr:nvCxnSpPr>
        <xdr:cNvPr id="143321" name="직선 화살표 연결선 143320">
          <a:extLst>
            <a:ext uri="{FF2B5EF4-FFF2-40B4-BE49-F238E27FC236}">
              <a16:creationId xmlns:a16="http://schemas.microsoft.com/office/drawing/2014/main" id="{00000000-0008-0000-0100-0000D92F0200}"/>
            </a:ext>
          </a:extLst>
        </xdr:cNvPr>
        <xdr:cNvCxnSpPr/>
      </xdr:nvCxnSpPr>
      <xdr:spPr>
        <a:xfrm>
          <a:off x="16558014" y="28933139"/>
          <a:ext cx="8209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451546</xdr:colOff>
      <xdr:row>187</xdr:row>
      <xdr:rowOff>19049</xdr:rowOff>
    </xdr:from>
    <xdr:to>
      <xdr:col>32</xdr:col>
      <xdr:colOff>740164</xdr:colOff>
      <xdr:row>187</xdr:row>
      <xdr:rowOff>133349</xdr:rowOff>
    </xdr:to>
    <xdr:sp macro="" textlink="">
      <xdr:nvSpPr>
        <xdr:cNvPr id="143322" name="184">
          <a:extLst>
            <a:ext uri="{FF2B5EF4-FFF2-40B4-BE49-F238E27FC236}">
              <a16:creationId xmlns:a16="http://schemas.microsoft.com/office/drawing/2014/main" id="{00000000-0008-0000-0100-0000DA2F0200}"/>
            </a:ext>
          </a:extLst>
        </xdr:cNvPr>
        <xdr:cNvSpPr/>
      </xdr:nvSpPr>
      <xdr:spPr>
        <a:xfrm>
          <a:off x="16270666" y="28723589"/>
          <a:ext cx="28861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451546</xdr:colOff>
      <xdr:row>187</xdr:row>
      <xdr:rowOff>76199</xdr:rowOff>
    </xdr:from>
    <xdr:to>
      <xdr:col>32</xdr:col>
      <xdr:colOff>738894</xdr:colOff>
      <xdr:row>187</xdr:row>
      <xdr:rowOff>76199</xdr:rowOff>
    </xdr:to>
    <xdr:cxnSp macro="">
      <xdr:nvCxnSpPr>
        <xdr:cNvPr id="143323" name="직선 화살표 연결선 143322">
          <a:extLst>
            <a:ext uri="{FF2B5EF4-FFF2-40B4-BE49-F238E27FC236}">
              <a16:creationId xmlns:a16="http://schemas.microsoft.com/office/drawing/2014/main" id="{00000000-0008-0000-0100-0000DB2F0200}"/>
            </a:ext>
          </a:extLst>
        </xdr:cNvPr>
        <xdr:cNvCxnSpPr/>
      </xdr:nvCxnSpPr>
      <xdr:spPr>
        <a:xfrm>
          <a:off x="16270666" y="28780739"/>
          <a:ext cx="2873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451546</xdr:colOff>
      <xdr:row>186</xdr:row>
      <xdr:rowOff>19049</xdr:rowOff>
    </xdr:from>
    <xdr:to>
      <xdr:col>33</xdr:col>
      <xdr:colOff>467868</xdr:colOff>
      <xdr:row>186</xdr:row>
      <xdr:rowOff>133349</xdr:rowOff>
    </xdr:to>
    <xdr:sp macro="" textlink="">
      <xdr:nvSpPr>
        <xdr:cNvPr id="143324" name="183">
          <a:extLst>
            <a:ext uri="{FF2B5EF4-FFF2-40B4-BE49-F238E27FC236}">
              <a16:creationId xmlns:a16="http://schemas.microsoft.com/office/drawing/2014/main" id="{00000000-0008-0000-0100-0000DC2F0200}"/>
            </a:ext>
          </a:extLst>
        </xdr:cNvPr>
        <xdr:cNvSpPr/>
      </xdr:nvSpPr>
      <xdr:spPr>
        <a:xfrm>
          <a:off x="16270666" y="28571189"/>
          <a:ext cx="128886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451546</xdr:colOff>
      <xdr:row>186</xdr:row>
      <xdr:rowOff>76199</xdr:rowOff>
    </xdr:from>
    <xdr:to>
      <xdr:col>33</xdr:col>
      <xdr:colOff>242670</xdr:colOff>
      <xdr:row>186</xdr:row>
      <xdr:rowOff>76199</xdr:rowOff>
    </xdr:to>
    <xdr:cxnSp macro="">
      <xdr:nvCxnSpPr>
        <xdr:cNvPr id="143325" name="직선 화살표 연결선 143324">
          <a:extLst>
            <a:ext uri="{FF2B5EF4-FFF2-40B4-BE49-F238E27FC236}">
              <a16:creationId xmlns:a16="http://schemas.microsoft.com/office/drawing/2014/main" id="{00000000-0008-0000-0100-0000DD2F0200}"/>
            </a:ext>
          </a:extLst>
        </xdr:cNvPr>
        <xdr:cNvCxnSpPr/>
      </xdr:nvCxnSpPr>
      <xdr:spPr>
        <a:xfrm>
          <a:off x="16270666" y="28628339"/>
          <a:ext cx="106366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246298</xdr:colOff>
      <xdr:row>185</xdr:row>
      <xdr:rowOff>19049</xdr:rowOff>
    </xdr:from>
    <xdr:to>
      <xdr:col>32</xdr:col>
      <xdr:colOff>288618</xdr:colOff>
      <xdr:row>185</xdr:row>
      <xdr:rowOff>133349</xdr:rowOff>
    </xdr:to>
    <xdr:sp macro="" textlink="">
      <xdr:nvSpPr>
        <xdr:cNvPr id="143326" name="182">
          <a:extLst>
            <a:ext uri="{FF2B5EF4-FFF2-40B4-BE49-F238E27FC236}">
              <a16:creationId xmlns:a16="http://schemas.microsoft.com/office/drawing/2014/main" id="{00000000-0008-0000-0100-0000DE2F0200}"/>
            </a:ext>
          </a:extLst>
        </xdr:cNvPr>
        <xdr:cNvSpPr/>
      </xdr:nvSpPr>
      <xdr:spPr>
        <a:xfrm>
          <a:off x="16065418" y="28418789"/>
          <a:ext cx="42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246298</xdr:colOff>
      <xdr:row>185</xdr:row>
      <xdr:rowOff>76199</xdr:rowOff>
    </xdr:from>
    <xdr:to>
      <xdr:col>32</xdr:col>
      <xdr:colOff>287348</xdr:colOff>
      <xdr:row>185</xdr:row>
      <xdr:rowOff>76199</xdr:rowOff>
    </xdr:to>
    <xdr:cxnSp macro="">
      <xdr:nvCxnSpPr>
        <xdr:cNvPr id="143327" name="직선 화살표 연결선 143326">
          <a:extLst>
            <a:ext uri="{FF2B5EF4-FFF2-40B4-BE49-F238E27FC236}">
              <a16:creationId xmlns:a16="http://schemas.microsoft.com/office/drawing/2014/main" id="{00000000-0008-0000-0100-0000DF2F0200}"/>
            </a:ext>
          </a:extLst>
        </xdr:cNvPr>
        <xdr:cNvCxnSpPr/>
      </xdr:nvCxnSpPr>
      <xdr:spPr>
        <a:xfrm>
          <a:off x="16065418" y="28475939"/>
          <a:ext cx="410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205248</xdr:colOff>
      <xdr:row>184</xdr:row>
      <xdr:rowOff>19049</xdr:rowOff>
    </xdr:from>
    <xdr:to>
      <xdr:col>32</xdr:col>
      <xdr:colOff>247568</xdr:colOff>
      <xdr:row>184</xdr:row>
      <xdr:rowOff>133349</xdr:rowOff>
    </xdr:to>
    <xdr:sp macro="" textlink="">
      <xdr:nvSpPr>
        <xdr:cNvPr id="143328" name="181">
          <a:extLst>
            <a:ext uri="{FF2B5EF4-FFF2-40B4-BE49-F238E27FC236}">
              <a16:creationId xmlns:a16="http://schemas.microsoft.com/office/drawing/2014/main" id="{00000000-0008-0000-0100-0000E02F0200}"/>
            </a:ext>
          </a:extLst>
        </xdr:cNvPr>
        <xdr:cNvSpPr/>
      </xdr:nvSpPr>
      <xdr:spPr>
        <a:xfrm>
          <a:off x="16024368" y="28266389"/>
          <a:ext cx="42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205248</xdr:colOff>
      <xdr:row>184</xdr:row>
      <xdr:rowOff>76199</xdr:rowOff>
    </xdr:from>
    <xdr:to>
      <xdr:col>32</xdr:col>
      <xdr:colOff>246298</xdr:colOff>
      <xdr:row>184</xdr:row>
      <xdr:rowOff>76199</xdr:rowOff>
    </xdr:to>
    <xdr:cxnSp macro="">
      <xdr:nvCxnSpPr>
        <xdr:cNvPr id="143329" name="직선 화살표 연결선 143328">
          <a:extLst>
            <a:ext uri="{FF2B5EF4-FFF2-40B4-BE49-F238E27FC236}">
              <a16:creationId xmlns:a16="http://schemas.microsoft.com/office/drawing/2014/main" id="{00000000-0008-0000-0100-0000E12F0200}"/>
            </a:ext>
          </a:extLst>
        </xdr:cNvPr>
        <xdr:cNvCxnSpPr/>
      </xdr:nvCxnSpPr>
      <xdr:spPr>
        <a:xfrm>
          <a:off x="16024368" y="28323539"/>
          <a:ext cx="410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205248</xdr:colOff>
      <xdr:row>183</xdr:row>
      <xdr:rowOff>19049</xdr:rowOff>
    </xdr:from>
    <xdr:to>
      <xdr:col>34</xdr:col>
      <xdr:colOff>1232760</xdr:colOff>
      <xdr:row>183</xdr:row>
      <xdr:rowOff>133349</xdr:rowOff>
    </xdr:to>
    <xdr:sp macro="" textlink="">
      <xdr:nvSpPr>
        <xdr:cNvPr id="143330" name="180">
          <a:extLst>
            <a:ext uri="{FF2B5EF4-FFF2-40B4-BE49-F238E27FC236}">
              <a16:creationId xmlns:a16="http://schemas.microsoft.com/office/drawing/2014/main" id="{00000000-0008-0000-0100-0000E22F0200}"/>
            </a:ext>
          </a:extLst>
        </xdr:cNvPr>
        <xdr:cNvSpPr/>
      </xdr:nvSpPr>
      <xdr:spPr>
        <a:xfrm>
          <a:off x="16024368" y="28113989"/>
          <a:ext cx="357259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205248</xdr:colOff>
      <xdr:row>183</xdr:row>
      <xdr:rowOff>76199</xdr:rowOff>
    </xdr:from>
    <xdr:to>
      <xdr:col>33</xdr:col>
      <xdr:colOff>203856</xdr:colOff>
      <xdr:row>183</xdr:row>
      <xdr:rowOff>76199</xdr:rowOff>
    </xdr:to>
    <xdr:cxnSp macro="">
      <xdr:nvCxnSpPr>
        <xdr:cNvPr id="143331" name="직선 화살표 연결선 143330">
          <a:extLst>
            <a:ext uri="{FF2B5EF4-FFF2-40B4-BE49-F238E27FC236}">
              <a16:creationId xmlns:a16="http://schemas.microsoft.com/office/drawing/2014/main" id="{00000000-0008-0000-0100-0000E32F0200}"/>
            </a:ext>
          </a:extLst>
        </xdr:cNvPr>
        <xdr:cNvCxnSpPr/>
      </xdr:nvCxnSpPr>
      <xdr:spPr>
        <a:xfrm>
          <a:off x="16024368" y="28171139"/>
          <a:ext cx="12711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205248</xdr:colOff>
      <xdr:row>182</xdr:row>
      <xdr:rowOff>19049</xdr:rowOff>
    </xdr:from>
    <xdr:to>
      <xdr:col>34</xdr:col>
      <xdr:colOff>1232760</xdr:colOff>
      <xdr:row>182</xdr:row>
      <xdr:rowOff>133349</xdr:rowOff>
    </xdr:to>
    <xdr:sp macro="" textlink="">
      <xdr:nvSpPr>
        <xdr:cNvPr id="143332" name="179">
          <a:extLst>
            <a:ext uri="{FF2B5EF4-FFF2-40B4-BE49-F238E27FC236}">
              <a16:creationId xmlns:a16="http://schemas.microsoft.com/office/drawing/2014/main" id="{00000000-0008-0000-0100-0000E42F0200}"/>
            </a:ext>
          </a:extLst>
        </xdr:cNvPr>
        <xdr:cNvSpPr/>
      </xdr:nvSpPr>
      <xdr:spPr>
        <a:xfrm>
          <a:off x="16024368" y="27961589"/>
          <a:ext cx="357259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205248</xdr:colOff>
      <xdr:row>182</xdr:row>
      <xdr:rowOff>76199</xdr:rowOff>
    </xdr:from>
    <xdr:to>
      <xdr:col>32</xdr:col>
      <xdr:colOff>1236405</xdr:colOff>
      <xdr:row>182</xdr:row>
      <xdr:rowOff>76199</xdr:rowOff>
    </xdr:to>
    <xdr:cxnSp macro="">
      <xdr:nvCxnSpPr>
        <xdr:cNvPr id="143333" name="직선 화살표 연결선 143332">
          <a:extLst>
            <a:ext uri="{FF2B5EF4-FFF2-40B4-BE49-F238E27FC236}">
              <a16:creationId xmlns:a16="http://schemas.microsoft.com/office/drawing/2014/main" id="{00000000-0008-0000-0100-0000E52F0200}"/>
            </a:ext>
          </a:extLst>
        </xdr:cNvPr>
        <xdr:cNvCxnSpPr/>
      </xdr:nvCxnSpPr>
      <xdr:spPr>
        <a:xfrm>
          <a:off x="16024368" y="28018739"/>
          <a:ext cx="103115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42418</xdr:colOff>
      <xdr:row>181</xdr:row>
      <xdr:rowOff>19049</xdr:rowOff>
    </xdr:from>
    <xdr:to>
      <xdr:col>33</xdr:col>
      <xdr:colOff>340614</xdr:colOff>
      <xdr:row>181</xdr:row>
      <xdr:rowOff>133349</xdr:rowOff>
    </xdr:to>
    <xdr:sp macro="" textlink="">
      <xdr:nvSpPr>
        <xdr:cNvPr id="143334" name="178">
          <a:extLst>
            <a:ext uri="{FF2B5EF4-FFF2-40B4-BE49-F238E27FC236}">
              <a16:creationId xmlns:a16="http://schemas.microsoft.com/office/drawing/2014/main" id="{00000000-0008-0000-0100-0000E62F0200}"/>
            </a:ext>
          </a:extLst>
        </xdr:cNvPr>
        <xdr:cNvSpPr/>
      </xdr:nvSpPr>
      <xdr:spPr>
        <a:xfrm>
          <a:off x="17134078" y="27809189"/>
          <a:ext cx="29819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42418</xdr:colOff>
      <xdr:row>181</xdr:row>
      <xdr:rowOff>76199</xdr:rowOff>
    </xdr:from>
    <xdr:to>
      <xdr:col>33</xdr:col>
      <xdr:colOff>279959</xdr:colOff>
      <xdr:row>181</xdr:row>
      <xdr:rowOff>76199</xdr:rowOff>
    </xdr:to>
    <xdr:cxnSp macro="">
      <xdr:nvCxnSpPr>
        <xdr:cNvPr id="143335" name="직선 화살표 연결선 143334">
          <a:extLst>
            <a:ext uri="{FF2B5EF4-FFF2-40B4-BE49-F238E27FC236}">
              <a16:creationId xmlns:a16="http://schemas.microsoft.com/office/drawing/2014/main" id="{00000000-0008-0000-0100-0000E72F0200}"/>
            </a:ext>
          </a:extLst>
        </xdr:cNvPr>
        <xdr:cNvCxnSpPr/>
      </xdr:nvCxnSpPr>
      <xdr:spPr>
        <a:xfrm>
          <a:off x="17134078" y="27866339"/>
          <a:ext cx="23754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1231490</xdr:colOff>
      <xdr:row>180</xdr:row>
      <xdr:rowOff>19049</xdr:rowOff>
    </xdr:from>
    <xdr:to>
      <xdr:col>33</xdr:col>
      <xdr:colOff>43688</xdr:colOff>
      <xdr:row>180</xdr:row>
      <xdr:rowOff>133349</xdr:rowOff>
    </xdr:to>
    <xdr:sp macro="" textlink="">
      <xdr:nvSpPr>
        <xdr:cNvPr id="143336" name="177">
          <a:extLst>
            <a:ext uri="{FF2B5EF4-FFF2-40B4-BE49-F238E27FC236}">
              <a16:creationId xmlns:a16="http://schemas.microsoft.com/office/drawing/2014/main" id="{00000000-0008-0000-0100-0000E82F0200}"/>
            </a:ext>
          </a:extLst>
        </xdr:cNvPr>
        <xdr:cNvSpPr/>
      </xdr:nvSpPr>
      <xdr:spPr>
        <a:xfrm>
          <a:off x="17050610" y="27656789"/>
          <a:ext cx="8473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1231490</xdr:colOff>
      <xdr:row>180</xdr:row>
      <xdr:rowOff>76199</xdr:rowOff>
    </xdr:from>
    <xdr:to>
      <xdr:col>33</xdr:col>
      <xdr:colOff>42418</xdr:colOff>
      <xdr:row>180</xdr:row>
      <xdr:rowOff>76199</xdr:rowOff>
    </xdr:to>
    <xdr:cxnSp macro="">
      <xdr:nvCxnSpPr>
        <xdr:cNvPr id="143337" name="직선 화살표 연결선 143336">
          <a:extLst>
            <a:ext uri="{FF2B5EF4-FFF2-40B4-BE49-F238E27FC236}">
              <a16:creationId xmlns:a16="http://schemas.microsoft.com/office/drawing/2014/main" id="{00000000-0008-0000-0100-0000E92F0200}"/>
            </a:ext>
          </a:extLst>
        </xdr:cNvPr>
        <xdr:cNvCxnSpPr/>
      </xdr:nvCxnSpPr>
      <xdr:spPr>
        <a:xfrm>
          <a:off x="17050610" y="27713939"/>
          <a:ext cx="8346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1067291</xdr:colOff>
      <xdr:row>179</xdr:row>
      <xdr:rowOff>19049</xdr:rowOff>
    </xdr:from>
    <xdr:to>
      <xdr:col>32</xdr:col>
      <xdr:colOff>1150661</xdr:colOff>
      <xdr:row>179</xdr:row>
      <xdr:rowOff>133349</xdr:rowOff>
    </xdr:to>
    <xdr:sp macro="" textlink="">
      <xdr:nvSpPr>
        <xdr:cNvPr id="143338" name="176">
          <a:extLst>
            <a:ext uri="{FF2B5EF4-FFF2-40B4-BE49-F238E27FC236}">
              <a16:creationId xmlns:a16="http://schemas.microsoft.com/office/drawing/2014/main" id="{00000000-0008-0000-0100-0000EA2F0200}"/>
            </a:ext>
          </a:extLst>
        </xdr:cNvPr>
        <xdr:cNvSpPr/>
      </xdr:nvSpPr>
      <xdr:spPr>
        <a:xfrm>
          <a:off x="16886411" y="27504389"/>
          <a:ext cx="833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1067291</xdr:colOff>
      <xdr:row>179</xdr:row>
      <xdr:rowOff>76199</xdr:rowOff>
    </xdr:from>
    <xdr:to>
      <xdr:col>32</xdr:col>
      <xdr:colOff>1149392</xdr:colOff>
      <xdr:row>179</xdr:row>
      <xdr:rowOff>76199</xdr:rowOff>
    </xdr:to>
    <xdr:cxnSp macro="">
      <xdr:nvCxnSpPr>
        <xdr:cNvPr id="143339" name="직선 화살표 연결선 143338">
          <a:extLst>
            <a:ext uri="{FF2B5EF4-FFF2-40B4-BE49-F238E27FC236}">
              <a16:creationId xmlns:a16="http://schemas.microsoft.com/office/drawing/2014/main" id="{00000000-0008-0000-0100-0000EB2F0200}"/>
            </a:ext>
          </a:extLst>
        </xdr:cNvPr>
        <xdr:cNvCxnSpPr/>
      </xdr:nvCxnSpPr>
      <xdr:spPr>
        <a:xfrm>
          <a:off x="16886411" y="27561539"/>
          <a:ext cx="8210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985192</xdr:colOff>
      <xdr:row>178</xdr:row>
      <xdr:rowOff>19049</xdr:rowOff>
    </xdr:from>
    <xdr:to>
      <xdr:col>32</xdr:col>
      <xdr:colOff>1068561</xdr:colOff>
      <xdr:row>178</xdr:row>
      <xdr:rowOff>133349</xdr:rowOff>
    </xdr:to>
    <xdr:sp macro="" textlink="">
      <xdr:nvSpPr>
        <xdr:cNvPr id="143340" name="175">
          <a:extLst>
            <a:ext uri="{FF2B5EF4-FFF2-40B4-BE49-F238E27FC236}">
              <a16:creationId xmlns:a16="http://schemas.microsoft.com/office/drawing/2014/main" id="{00000000-0008-0000-0100-0000EC2F0200}"/>
            </a:ext>
          </a:extLst>
        </xdr:cNvPr>
        <xdr:cNvSpPr/>
      </xdr:nvSpPr>
      <xdr:spPr>
        <a:xfrm>
          <a:off x="16804312" y="27351989"/>
          <a:ext cx="8336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985192</xdr:colOff>
      <xdr:row>178</xdr:row>
      <xdr:rowOff>76199</xdr:rowOff>
    </xdr:from>
    <xdr:to>
      <xdr:col>32</xdr:col>
      <xdr:colOff>1067291</xdr:colOff>
      <xdr:row>178</xdr:row>
      <xdr:rowOff>76199</xdr:rowOff>
    </xdr:to>
    <xdr:cxnSp macro="">
      <xdr:nvCxnSpPr>
        <xdr:cNvPr id="143341" name="직선 화살표 연결선 143340">
          <a:extLst>
            <a:ext uri="{FF2B5EF4-FFF2-40B4-BE49-F238E27FC236}">
              <a16:creationId xmlns:a16="http://schemas.microsoft.com/office/drawing/2014/main" id="{00000000-0008-0000-0100-0000ED2F0200}"/>
            </a:ext>
          </a:extLst>
        </xdr:cNvPr>
        <xdr:cNvCxnSpPr/>
      </xdr:nvCxnSpPr>
      <xdr:spPr>
        <a:xfrm>
          <a:off x="16804312" y="27409139"/>
          <a:ext cx="8209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820993</xdr:colOff>
      <xdr:row>177</xdr:row>
      <xdr:rowOff>19049</xdr:rowOff>
    </xdr:from>
    <xdr:to>
      <xdr:col>32</xdr:col>
      <xdr:colOff>986462</xdr:colOff>
      <xdr:row>177</xdr:row>
      <xdr:rowOff>133349</xdr:rowOff>
    </xdr:to>
    <xdr:sp macro="" textlink="">
      <xdr:nvSpPr>
        <xdr:cNvPr id="143342" name="174">
          <a:extLst>
            <a:ext uri="{FF2B5EF4-FFF2-40B4-BE49-F238E27FC236}">
              <a16:creationId xmlns:a16="http://schemas.microsoft.com/office/drawing/2014/main" id="{00000000-0008-0000-0100-0000EE2F0200}"/>
            </a:ext>
          </a:extLst>
        </xdr:cNvPr>
        <xdr:cNvSpPr/>
      </xdr:nvSpPr>
      <xdr:spPr>
        <a:xfrm>
          <a:off x="16640113" y="27199589"/>
          <a:ext cx="16546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820993</xdr:colOff>
      <xdr:row>177</xdr:row>
      <xdr:rowOff>76199</xdr:rowOff>
    </xdr:from>
    <xdr:to>
      <xdr:col>32</xdr:col>
      <xdr:colOff>985192</xdr:colOff>
      <xdr:row>177</xdr:row>
      <xdr:rowOff>76199</xdr:rowOff>
    </xdr:to>
    <xdr:cxnSp macro="">
      <xdr:nvCxnSpPr>
        <xdr:cNvPr id="143343" name="직선 화살표 연결선 143342">
          <a:extLst>
            <a:ext uri="{FF2B5EF4-FFF2-40B4-BE49-F238E27FC236}">
              <a16:creationId xmlns:a16="http://schemas.microsoft.com/office/drawing/2014/main" id="{00000000-0008-0000-0100-0000EF2F0200}"/>
            </a:ext>
          </a:extLst>
        </xdr:cNvPr>
        <xdr:cNvCxnSpPr/>
      </xdr:nvCxnSpPr>
      <xdr:spPr>
        <a:xfrm>
          <a:off x="16640113" y="27256739"/>
          <a:ext cx="16419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697844</xdr:colOff>
      <xdr:row>176</xdr:row>
      <xdr:rowOff>19049</xdr:rowOff>
    </xdr:from>
    <xdr:to>
      <xdr:col>32</xdr:col>
      <xdr:colOff>822263</xdr:colOff>
      <xdr:row>176</xdr:row>
      <xdr:rowOff>133349</xdr:rowOff>
    </xdr:to>
    <xdr:sp macro="" textlink="">
      <xdr:nvSpPr>
        <xdr:cNvPr id="143344" name="173">
          <a:extLst>
            <a:ext uri="{FF2B5EF4-FFF2-40B4-BE49-F238E27FC236}">
              <a16:creationId xmlns:a16="http://schemas.microsoft.com/office/drawing/2014/main" id="{00000000-0008-0000-0100-0000F02F0200}"/>
            </a:ext>
          </a:extLst>
        </xdr:cNvPr>
        <xdr:cNvSpPr/>
      </xdr:nvSpPr>
      <xdr:spPr>
        <a:xfrm>
          <a:off x="16516964" y="27047189"/>
          <a:ext cx="1244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697844</xdr:colOff>
      <xdr:row>176</xdr:row>
      <xdr:rowOff>76199</xdr:rowOff>
    </xdr:from>
    <xdr:to>
      <xdr:col>32</xdr:col>
      <xdr:colOff>820993</xdr:colOff>
      <xdr:row>176</xdr:row>
      <xdr:rowOff>76199</xdr:rowOff>
    </xdr:to>
    <xdr:cxnSp macro="">
      <xdr:nvCxnSpPr>
        <xdr:cNvPr id="143345" name="직선 화살표 연결선 143344">
          <a:extLst>
            <a:ext uri="{FF2B5EF4-FFF2-40B4-BE49-F238E27FC236}">
              <a16:creationId xmlns:a16="http://schemas.microsoft.com/office/drawing/2014/main" id="{00000000-0008-0000-0100-0000F12F0200}"/>
            </a:ext>
          </a:extLst>
        </xdr:cNvPr>
        <xdr:cNvCxnSpPr/>
      </xdr:nvCxnSpPr>
      <xdr:spPr>
        <a:xfrm>
          <a:off x="16516964" y="27104339"/>
          <a:ext cx="1231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410497</xdr:colOff>
      <xdr:row>175</xdr:row>
      <xdr:rowOff>19049</xdr:rowOff>
    </xdr:from>
    <xdr:to>
      <xdr:col>32</xdr:col>
      <xdr:colOff>699114</xdr:colOff>
      <xdr:row>175</xdr:row>
      <xdr:rowOff>133349</xdr:rowOff>
    </xdr:to>
    <xdr:sp macro="" textlink="">
      <xdr:nvSpPr>
        <xdr:cNvPr id="143346" name="172">
          <a:extLst>
            <a:ext uri="{FF2B5EF4-FFF2-40B4-BE49-F238E27FC236}">
              <a16:creationId xmlns:a16="http://schemas.microsoft.com/office/drawing/2014/main" id="{00000000-0008-0000-0100-0000F22F0200}"/>
            </a:ext>
          </a:extLst>
        </xdr:cNvPr>
        <xdr:cNvSpPr/>
      </xdr:nvSpPr>
      <xdr:spPr>
        <a:xfrm>
          <a:off x="16229617" y="26894789"/>
          <a:ext cx="28861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410497</xdr:colOff>
      <xdr:row>175</xdr:row>
      <xdr:rowOff>76199</xdr:rowOff>
    </xdr:from>
    <xdr:to>
      <xdr:col>32</xdr:col>
      <xdr:colOff>697844</xdr:colOff>
      <xdr:row>175</xdr:row>
      <xdr:rowOff>76199</xdr:rowOff>
    </xdr:to>
    <xdr:cxnSp macro="">
      <xdr:nvCxnSpPr>
        <xdr:cNvPr id="143347" name="직선 화살표 연결선 143346">
          <a:extLst>
            <a:ext uri="{FF2B5EF4-FFF2-40B4-BE49-F238E27FC236}">
              <a16:creationId xmlns:a16="http://schemas.microsoft.com/office/drawing/2014/main" id="{00000000-0008-0000-0100-0000F32F0200}"/>
            </a:ext>
          </a:extLst>
        </xdr:cNvPr>
        <xdr:cNvCxnSpPr/>
      </xdr:nvCxnSpPr>
      <xdr:spPr>
        <a:xfrm>
          <a:off x="16229617" y="26951939"/>
          <a:ext cx="28734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410497</xdr:colOff>
      <xdr:row>174</xdr:row>
      <xdr:rowOff>19049</xdr:rowOff>
    </xdr:from>
    <xdr:to>
      <xdr:col>33</xdr:col>
      <xdr:colOff>43688</xdr:colOff>
      <xdr:row>174</xdr:row>
      <xdr:rowOff>133349</xdr:rowOff>
    </xdr:to>
    <xdr:sp macro="" textlink="">
      <xdr:nvSpPr>
        <xdr:cNvPr id="143348" name="171">
          <a:extLst>
            <a:ext uri="{FF2B5EF4-FFF2-40B4-BE49-F238E27FC236}">
              <a16:creationId xmlns:a16="http://schemas.microsoft.com/office/drawing/2014/main" id="{00000000-0008-0000-0100-0000F42F0200}"/>
            </a:ext>
          </a:extLst>
        </xdr:cNvPr>
        <xdr:cNvSpPr/>
      </xdr:nvSpPr>
      <xdr:spPr>
        <a:xfrm>
          <a:off x="16229617" y="26742389"/>
          <a:ext cx="9057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410497</xdr:colOff>
      <xdr:row>174</xdr:row>
      <xdr:rowOff>76199</xdr:rowOff>
    </xdr:from>
    <xdr:to>
      <xdr:col>33</xdr:col>
      <xdr:colOff>42418</xdr:colOff>
      <xdr:row>174</xdr:row>
      <xdr:rowOff>76199</xdr:rowOff>
    </xdr:to>
    <xdr:cxnSp macro="">
      <xdr:nvCxnSpPr>
        <xdr:cNvPr id="143349" name="직선 화살표 연결선 143348">
          <a:extLst>
            <a:ext uri="{FF2B5EF4-FFF2-40B4-BE49-F238E27FC236}">
              <a16:creationId xmlns:a16="http://schemas.microsoft.com/office/drawing/2014/main" id="{00000000-0008-0000-0100-0000F52F0200}"/>
            </a:ext>
          </a:extLst>
        </xdr:cNvPr>
        <xdr:cNvCxnSpPr/>
      </xdr:nvCxnSpPr>
      <xdr:spPr>
        <a:xfrm>
          <a:off x="16229617" y="26799539"/>
          <a:ext cx="9044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246298</xdr:colOff>
      <xdr:row>173</xdr:row>
      <xdr:rowOff>19049</xdr:rowOff>
    </xdr:from>
    <xdr:to>
      <xdr:col>32</xdr:col>
      <xdr:colOff>288618</xdr:colOff>
      <xdr:row>173</xdr:row>
      <xdr:rowOff>133349</xdr:rowOff>
    </xdr:to>
    <xdr:sp macro="" textlink="">
      <xdr:nvSpPr>
        <xdr:cNvPr id="143350" name="170">
          <a:extLst>
            <a:ext uri="{FF2B5EF4-FFF2-40B4-BE49-F238E27FC236}">
              <a16:creationId xmlns:a16="http://schemas.microsoft.com/office/drawing/2014/main" id="{00000000-0008-0000-0100-0000F62F0200}"/>
            </a:ext>
          </a:extLst>
        </xdr:cNvPr>
        <xdr:cNvSpPr/>
      </xdr:nvSpPr>
      <xdr:spPr>
        <a:xfrm>
          <a:off x="16065418" y="26589989"/>
          <a:ext cx="42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246298</xdr:colOff>
      <xdr:row>173</xdr:row>
      <xdr:rowOff>76199</xdr:rowOff>
    </xdr:from>
    <xdr:to>
      <xdr:col>32</xdr:col>
      <xdr:colOff>287348</xdr:colOff>
      <xdr:row>173</xdr:row>
      <xdr:rowOff>76199</xdr:rowOff>
    </xdr:to>
    <xdr:cxnSp macro="">
      <xdr:nvCxnSpPr>
        <xdr:cNvPr id="143351" name="직선 화살표 연결선 143350">
          <a:extLst>
            <a:ext uri="{FF2B5EF4-FFF2-40B4-BE49-F238E27FC236}">
              <a16:creationId xmlns:a16="http://schemas.microsoft.com/office/drawing/2014/main" id="{00000000-0008-0000-0100-0000F72F0200}"/>
            </a:ext>
          </a:extLst>
        </xdr:cNvPr>
        <xdr:cNvCxnSpPr/>
      </xdr:nvCxnSpPr>
      <xdr:spPr>
        <a:xfrm>
          <a:off x="16065418" y="26647139"/>
          <a:ext cx="410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205248</xdr:colOff>
      <xdr:row>172</xdr:row>
      <xdr:rowOff>19049</xdr:rowOff>
    </xdr:from>
    <xdr:to>
      <xdr:col>32</xdr:col>
      <xdr:colOff>247568</xdr:colOff>
      <xdr:row>172</xdr:row>
      <xdr:rowOff>133349</xdr:rowOff>
    </xdr:to>
    <xdr:sp macro="" textlink="">
      <xdr:nvSpPr>
        <xdr:cNvPr id="143352" name="169">
          <a:extLst>
            <a:ext uri="{FF2B5EF4-FFF2-40B4-BE49-F238E27FC236}">
              <a16:creationId xmlns:a16="http://schemas.microsoft.com/office/drawing/2014/main" id="{00000000-0008-0000-0100-0000F82F0200}"/>
            </a:ext>
          </a:extLst>
        </xdr:cNvPr>
        <xdr:cNvSpPr/>
      </xdr:nvSpPr>
      <xdr:spPr>
        <a:xfrm>
          <a:off x="16024368" y="26437589"/>
          <a:ext cx="42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205248</xdr:colOff>
      <xdr:row>172</xdr:row>
      <xdr:rowOff>76199</xdr:rowOff>
    </xdr:from>
    <xdr:to>
      <xdr:col>32</xdr:col>
      <xdr:colOff>246298</xdr:colOff>
      <xdr:row>172</xdr:row>
      <xdr:rowOff>76199</xdr:rowOff>
    </xdr:to>
    <xdr:cxnSp macro="">
      <xdr:nvCxnSpPr>
        <xdr:cNvPr id="143353" name="직선 화살표 연결선 143352">
          <a:extLst>
            <a:ext uri="{FF2B5EF4-FFF2-40B4-BE49-F238E27FC236}">
              <a16:creationId xmlns:a16="http://schemas.microsoft.com/office/drawing/2014/main" id="{00000000-0008-0000-0100-0000F92F0200}"/>
            </a:ext>
          </a:extLst>
        </xdr:cNvPr>
        <xdr:cNvCxnSpPr/>
      </xdr:nvCxnSpPr>
      <xdr:spPr>
        <a:xfrm>
          <a:off x="16024368" y="26494739"/>
          <a:ext cx="410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205248</xdr:colOff>
      <xdr:row>171</xdr:row>
      <xdr:rowOff>19049</xdr:rowOff>
    </xdr:from>
    <xdr:to>
      <xdr:col>33</xdr:col>
      <xdr:colOff>340614</xdr:colOff>
      <xdr:row>171</xdr:row>
      <xdr:rowOff>133349</xdr:rowOff>
    </xdr:to>
    <xdr:sp macro="" textlink="">
      <xdr:nvSpPr>
        <xdr:cNvPr id="143354" name="168">
          <a:extLst>
            <a:ext uri="{FF2B5EF4-FFF2-40B4-BE49-F238E27FC236}">
              <a16:creationId xmlns:a16="http://schemas.microsoft.com/office/drawing/2014/main" id="{00000000-0008-0000-0100-0000FA2F0200}"/>
            </a:ext>
          </a:extLst>
        </xdr:cNvPr>
        <xdr:cNvSpPr/>
      </xdr:nvSpPr>
      <xdr:spPr>
        <a:xfrm>
          <a:off x="16024368" y="26285189"/>
          <a:ext cx="140790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205248</xdr:colOff>
      <xdr:row>171</xdr:row>
      <xdr:rowOff>76199</xdr:rowOff>
    </xdr:from>
    <xdr:to>
      <xdr:col>33</xdr:col>
      <xdr:colOff>278187</xdr:colOff>
      <xdr:row>171</xdr:row>
      <xdr:rowOff>76199</xdr:rowOff>
    </xdr:to>
    <xdr:cxnSp macro="">
      <xdr:nvCxnSpPr>
        <xdr:cNvPr id="143355" name="직선 화살표 연결선 143354">
          <a:extLst>
            <a:ext uri="{FF2B5EF4-FFF2-40B4-BE49-F238E27FC236}">
              <a16:creationId xmlns:a16="http://schemas.microsoft.com/office/drawing/2014/main" id="{00000000-0008-0000-0100-0000FB2F0200}"/>
            </a:ext>
          </a:extLst>
        </xdr:cNvPr>
        <xdr:cNvCxnSpPr/>
      </xdr:nvCxnSpPr>
      <xdr:spPr>
        <a:xfrm>
          <a:off x="16024368" y="26342339"/>
          <a:ext cx="134547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1149390</xdr:colOff>
      <xdr:row>170</xdr:row>
      <xdr:rowOff>19049</xdr:rowOff>
    </xdr:from>
    <xdr:to>
      <xdr:col>34</xdr:col>
      <xdr:colOff>1232760</xdr:colOff>
      <xdr:row>170</xdr:row>
      <xdr:rowOff>133349</xdr:rowOff>
    </xdr:to>
    <xdr:sp macro="" textlink="">
      <xdr:nvSpPr>
        <xdr:cNvPr id="143356" name="167">
          <a:extLst>
            <a:ext uri="{FF2B5EF4-FFF2-40B4-BE49-F238E27FC236}">
              <a16:creationId xmlns:a16="http://schemas.microsoft.com/office/drawing/2014/main" id="{00000000-0008-0000-0100-0000FC2F0200}"/>
            </a:ext>
          </a:extLst>
        </xdr:cNvPr>
        <xdr:cNvSpPr/>
      </xdr:nvSpPr>
      <xdr:spPr>
        <a:xfrm>
          <a:off x="19513590" y="26132789"/>
          <a:ext cx="833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1149390</xdr:colOff>
      <xdr:row>170</xdr:row>
      <xdr:rowOff>76199</xdr:rowOff>
    </xdr:from>
    <xdr:to>
      <xdr:col>34</xdr:col>
      <xdr:colOff>1149390</xdr:colOff>
      <xdr:row>170</xdr:row>
      <xdr:rowOff>76199</xdr:rowOff>
    </xdr:to>
    <xdr:cxnSp macro="">
      <xdr:nvCxnSpPr>
        <xdr:cNvPr id="143357" name="직선 화살표 연결선 143356">
          <a:extLst>
            <a:ext uri="{FF2B5EF4-FFF2-40B4-BE49-F238E27FC236}">
              <a16:creationId xmlns:a16="http://schemas.microsoft.com/office/drawing/2014/main" id="{00000000-0008-0000-0100-0000FD2F0200}"/>
            </a:ext>
          </a:extLst>
        </xdr:cNvPr>
        <xdr:cNvCxnSpPr/>
      </xdr:nvCxnSpPr>
      <xdr:spPr>
        <a:xfrm>
          <a:off x="19513590" y="261899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1067291</xdr:colOff>
      <xdr:row>169</xdr:row>
      <xdr:rowOff>19049</xdr:rowOff>
    </xdr:from>
    <xdr:to>
      <xdr:col>34</xdr:col>
      <xdr:colOff>1150660</xdr:colOff>
      <xdr:row>169</xdr:row>
      <xdr:rowOff>133349</xdr:rowOff>
    </xdr:to>
    <xdr:sp macro="" textlink="">
      <xdr:nvSpPr>
        <xdr:cNvPr id="143358" name="166">
          <a:extLst>
            <a:ext uri="{FF2B5EF4-FFF2-40B4-BE49-F238E27FC236}">
              <a16:creationId xmlns:a16="http://schemas.microsoft.com/office/drawing/2014/main" id="{00000000-0008-0000-0100-0000FE2F0200}"/>
            </a:ext>
          </a:extLst>
        </xdr:cNvPr>
        <xdr:cNvSpPr/>
      </xdr:nvSpPr>
      <xdr:spPr>
        <a:xfrm>
          <a:off x="19431491" y="25980389"/>
          <a:ext cx="8336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1067291</xdr:colOff>
      <xdr:row>169</xdr:row>
      <xdr:rowOff>76199</xdr:rowOff>
    </xdr:from>
    <xdr:to>
      <xdr:col>34</xdr:col>
      <xdr:colOff>1067291</xdr:colOff>
      <xdr:row>169</xdr:row>
      <xdr:rowOff>76199</xdr:rowOff>
    </xdr:to>
    <xdr:cxnSp macro="">
      <xdr:nvCxnSpPr>
        <xdr:cNvPr id="143359" name="직선 화살표 연결선 143358">
          <a:extLst>
            <a:ext uri="{FF2B5EF4-FFF2-40B4-BE49-F238E27FC236}">
              <a16:creationId xmlns:a16="http://schemas.microsoft.com/office/drawing/2014/main" id="{00000000-0008-0000-0100-0000FF2F0200}"/>
            </a:ext>
          </a:extLst>
        </xdr:cNvPr>
        <xdr:cNvCxnSpPr/>
      </xdr:nvCxnSpPr>
      <xdr:spPr>
        <a:xfrm>
          <a:off x="19431491" y="260375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862044</xdr:colOff>
      <xdr:row>168</xdr:row>
      <xdr:rowOff>19049</xdr:rowOff>
    </xdr:from>
    <xdr:to>
      <xdr:col>34</xdr:col>
      <xdr:colOff>945412</xdr:colOff>
      <xdr:row>168</xdr:row>
      <xdr:rowOff>133349</xdr:rowOff>
    </xdr:to>
    <xdr:sp macro="" textlink="">
      <xdr:nvSpPr>
        <xdr:cNvPr id="143360" name="165">
          <a:extLst>
            <a:ext uri="{FF2B5EF4-FFF2-40B4-BE49-F238E27FC236}">
              <a16:creationId xmlns:a16="http://schemas.microsoft.com/office/drawing/2014/main" id="{00000000-0008-0000-0100-000000300200}"/>
            </a:ext>
          </a:extLst>
        </xdr:cNvPr>
        <xdr:cNvSpPr/>
      </xdr:nvSpPr>
      <xdr:spPr>
        <a:xfrm>
          <a:off x="19226244" y="25827989"/>
          <a:ext cx="8336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862044</xdr:colOff>
      <xdr:row>168</xdr:row>
      <xdr:rowOff>76199</xdr:rowOff>
    </xdr:from>
    <xdr:to>
      <xdr:col>34</xdr:col>
      <xdr:colOff>862044</xdr:colOff>
      <xdr:row>168</xdr:row>
      <xdr:rowOff>76199</xdr:rowOff>
    </xdr:to>
    <xdr:cxnSp macro="">
      <xdr:nvCxnSpPr>
        <xdr:cNvPr id="143361" name="직선 화살표 연결선 143360">
          <a:extLst>
            <a:ext uri="{FF2B5EF4-FFF2-40B4-BE49-F238E27FC236}">
              <a16:creationId xmlns:a16="http://schemas.microsoft.com/office/drawing/2014/main" id="{00000000-0008-0000-0100-000001300200}"/>
            </a:ext>
          </a:extLst>
        </xdr:cNvPr>
        <xdr:cNvCxnSpPr/>
      </xdr:nvCxnSpPr>
      <xdr:spPr>
        <a:xfrm>
          <a:off x="19226244" y="258851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779945</xdr:colOff>
      <xdr:row>167</xdr:row>
      <xdr:rowOff>19049</xdr:rowOff>
    </xdr:from>
    <xdr:to>
      <xdr:col>34</xdr:col>
      <xdr:colOff>863313</xdr:colOff>
      <xdr:row>167</xdr:row>
      <xdr:rowOff>133349</xdr:rowOff>
    </xdr:to>
    <xdr:sp macro="" textlink="">
      <xdr:nvSpPr>
        <xdr:cNvPr id="143362" name="164">
          <a:extLst>
            <a:ext uri="{FF2B5EF4-FFF2-40B4-BE49-F238E27FC236}">
              <a16:creationId xmlns:a16="http://schemas.microsoft.com/office/drawing/2014/main" id="{00000000-0008-0000-0100-000002300200}"/>
            </a:ext>
          </a:extLst>
        </xdr:cNvPr>
        <xdr:cNvSpPr/>
      </xdr:nvSpPr>
      <xdr:spPr>
        <a:xfrm>
          <a:off x="19144145" y="25675589"/>
          <a:ext cx="8336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779945</xdr:colOff>
      <xdr:row>167</xdr:row>
      <xdr:rowOff>76199</xdr:rowOff>
    </xdr:from>
    <xdr:to>
      <xdr:col>34</xdr:col>
      <xdr:colOff>779945</xdr:colOff>
      <xdr:row>167</xdr:row>
      <xdr:rowOff>76199</xdr:rowOff>
    </xdr:to>
    <xdr:cxnSp macro="">
      <xdr:nvCxnSpPr>
        <xdr:cNvPr id="143363" name="직선 화살표 연결선 143362">
          <a:extLst>
            <a:ext uri="{FF2B5EF4-FFF2-40B4-BE49-F238E27FC236}">
              <a16:creationId xmlns:a16="http://schemas.microsoft.com/office/drawing/2014/main" id="{00000000-0008-0000-0100-000003300200}"/>
            </a:ext>
          </a:extLst>
        </xdr:cNvPr>
        <xdr:cNvCxnSpPr/>
      </xdr:nvCxnSpPr>
      <xdr:spPr>
        <a:xfrm>
          <a:off x="19144145" y="257327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615745</xdr:colOff>
      <xdr:row>166</xdr:row>
      <xdr:rowOff>19049</xdr:rowOff>
    </xdr:from>
    <xdr:to>
      <xdr:col>34</xdr:col>
      <xdr:colOff>781214</xdr:colOff>
      <xdr:row>166</xdr:row>
      <xdr:rowOff>133349</xdr:rowOff>
    </xdr:to>
    <xdr:sp macro="" textlink="">
      <xdr:nvSpPr>
        <xdr:cNvPr id="143364" name="163">
          <a:extLst>
            <a:ext uri="{FF2B5EF4-FFF2-40B4-BE49-F238E27FC236}">
              <a16:creationId xmlns:a16="http://schemas.microsoft.com/office/drawing/2014/main" id="{00000000-0008-0000-0100-000004300200}"/>
            </a:ext>
          </a:extLst>
        </xdr:cNvPr>
        <xdr:cNvSpPr/>
      </xdr:nvSpPr>
      <xdr:spPr>
        <a:xfrm>
          <a:off x="18979945" y="25523189"/>
          <a:ext cx="16546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615745</xdr:colOff>
      <xdr:row>166</xdr:row>
      <xdr:rowOff>76199</xdr:rowOff>
    </xdr:from>
    <xdr:to>
      <xdr:col>34</xdr:col>
      <xdr:colOff>615745</xdr:colOff>
      <xdr:row>166</xdr:row>
      <xdr:rowOff>76199</xdr:rowOff>
    </xdr:to>
    <xdr:cxnSp macro="">
      <xdr:nvCxnSpPr>
        <xdr:cNvPr id="143365" name="직선 화살표 연결선 143364">
          <a:extLst>
            <a:ext uri="{FF2B5EF4-FFF2-40B4-BE49-F238E27FC236}">
              <a16:creationId xmlns:a16="http://schemas.microsoft.com/office/drawing/2014/main" id="{00000000-0008-0000-0100-000005300200}"/>
            </a:ext>
          </a:extLst>
        </xdr:cNvPr>
        <xdr:cNvCxnSpPr/>
      </xdr:nvCxnSpPr>
      <xdr:spPr>
        <a:xfrm>
          <a:off x="18979945" y="255803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533646</xdr:colOff>
      <xdr:row>165</xdr:row>
      <xdr:rowOff>19049</xdr:rowOff>
    </xdr:from>
    <xdr:to>
      <xdr:col>34</xdr:col>
      <xdr:colOff>617015</xdr:colOff>
      <xdr:row>165</xdr:row>
      <xdr:rowOff>133349</xdr:rowOff>
    </xdr:to>
    <xdr:sp macro="" textlink="">
      <xdr:nvSpPr>
        <xdr:cNvPr id="143366" name="162">
          <a:extLst>
            <a:ext uri="{FF2B5EF4-FFF2-40B4-BE49-F238E27FC236}">
              <a16:creationId xmlns:a16="http://schemas.microsoft.com/office/drawing/2014/main" id="{00000000-0008-0000-0100-000006300200}"/>
            </a:ext>
          </a:extLst>
        </xdr:cNvPr>
        <xdr:cNvSpPr/>
      </xdr:nvSpPr>
      <xdr:spPr>
        <a:xfrm>
          <a:off x="18897846" y="25370789"/>
          <a:ext cx="8336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533646</xdr:colOff>
      <xdr:row>165</xdr:row>
      <xdr:rowOff>76199</xdr:rowOff>
    </xdr:from>
    <xdr:to>
      <xdr:col>34</xdr:col>
      <xdr:colOff>533646</xdr:colOff>
      <xdr:row>165</xdr:row>
      <xdr:rowOff>76199</xdr:rowOff>
    </xdr:to>
    <xdr:cxnSp macro="">
      <xdr:nvCxnSpPr>
        <xdr:cNvPr id="143367" name="직선 화살표 연결선 143366">
          <a:extLst>
            <a:ext uri="{FF2B5EF4-FFF2-40B4-BE49-F238E27FC236}">
              <a16:creationId xmlns:a16="http://schemas.microsoft.com/office/drawing/2014/main" id="{00000000-0008-0000-0100-000007300200}"/>
            </a:ext>
          </a:extLst>
        </xdr:cNvPr>
        <xdr:cNvCxnSpPr/>
      </xdr:nvCxnSpPr>
      <xdr:spPr>
        <a:xfrm>
          <a:off x="18897846" y="254279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451546</xdr:colOff>
      <xdr:row>164</xdr:row>
      <xdr:rowOff>19049</xdr:rowOff>
    </xdr:from>
    <xdr:to>
      <xdr:col>34</xdr:col>
      <xdr:colOff>534916</xdr:colOff>
      <xdr:row>164</xdr:row>
      <xdr:rowOff>133349</xdr:rowOff>
    </xdr:to>
    <xdr:sp macro="" textlink="">
      <xdr:nvSpPr>
        <xdr:cNvPr id="143368" name="161">
          <a:extLst>
            <a:ext uri="{FF2B5EF4-FFF2-40B4-BE49-F238E27FC236}">
              <a16:creationId xmlns:a16="http://schemas.microsoft.com/office/drawing/2014/main" id="{00000000-0008-0000-0100-000008300200}"/>
            </a:ext>
          </a:extLst>
        </xdr:cNvPr>
        <xdr:cNvSpPr/>
      </xdr:nvSpPr>
      <xdr:spPr>
        <a:xfrm>
          <a:off x="18815746" y="25218389"/>
          <a:ext cx="833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451546</xdr:colOff>
      <xdr:row>164</xdr:row>
      <xdr:rowOff>76199</xdr:rowOff>
    </xdr:from>
    <xdr:to>
      <xdr:col>34</xdr:col>
      <xdr:colOff>451546</xdr:colOff>
      <xdr:row>164</xdr:row>
      <xdr:rowOff>76199</xdr:rowOff>
    </xdr:to>
    <xdr:cxnSp macro="">
      <xdr:nvCxnSpPr>
        <xdr:cNvPr id="143369" name="직선 화살표 연결선 143368">
          <a:extLst>
            <a:ext uri="{FF2B5EF4-FFF2-40B4-BE49-F238E27FC236}">
              <a16:creationId xmlns:a16="http://schemas.microsoft.com/office/drawing/2014/main" id="{00000000-0008-0000-0100-000009300200}"/>
            </a:ext>
          </a:extLst>
        </xdr:cNvPr>
        <xdr:cNvCxnSpPr/>
      </xdr:nvCxnSpPr>
      <xdr:spPr>
        <a:xfrm>
          <a:off x="18815746" y="252755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451546</xdr:colOff>
      <xdr:row>163</xdr:row>
      <xdr:rowOff>19049</xdr:rowOff>
    </xdr:from>
    <xdr:to>
      <xdr:col>34</xdr:col>
      <xdr:colOff>1232760</xdr:colOff>
      <xdr:row>163</xdr:row>
      <xdr:rowOff>133349</xdr:rowOff>
    </xdr:to>
    <xdr:sp macro="" textlink="">
      <xdr:nvSpPr>
        <xdr:cNvPr id="143370" name="160">
          <a:extLst>
            <a:ext uri="{FF2B5EF4-FFF2-40B4-BE49-F238E27FC236}">
              <a16:creationId xmlns:a16="http://schemas.microsoft.com/office/drawing/2014/main" id="{00000000-0008-0000-0100-00000A300200}"/>
            </a:ext>
          </a:extLst>
        </xdr:cNvPr>
        <xdr:cNvSpPr/>
      </xdr:nvSpPr>
      <xdr:spPr>
        <a:xfrm>
          <a:off x="18815746" y="25065989"/>
          <a:ext cx="78121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451546</xdr:colOff>
      <xdr:row>163</xdr:row>
      <xdr:rowOff>76199</xdr:rowOff>
    </xdr:from>
    <xdr:to>
      <xdr:col>34</xdr:col>
      <xdr:colOff>451546</xdr:colOff>
      <xdr:row>163</xdr:row>
      <xdr:rowOff>76199</xdr:rowOff>
    </xdr:to>
    <xdr:cxnSp macro="">
      <xdr:nvCxnSpPr>
        <xdr:cNvPr id="143371" name="직선 화살표 연결선 143370">
          <a:extLst>
            <a:ext uri="{FF2B5EF4-FFF2-40B4-BE49-F238E27FC236}">
              <a16:creationId xmlns:a16="http://schemas.microsoft.com/office/drawing/2014/main" id="{00000000-0008-0000-0100-00000B300200}"/>
            </a:ext>
          </a:extLst>
        </xdr:cNvPr>
        <xdr:cNvCxnSpPr/>
      </xdr:nvCxnSpPr>
      <xdr:spPr>
        <a:xfrm>
          <a:off x="18815746" y="251231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678688</xdr:colOff>
      <xdr:row>162</xdr:row>
      <xdr:rowOff>19049</xdr:rowOff>
    </xdr:from>
    <xdr:to>
      <xdr:col>33</xdr:col>
      <xdr:colOff>722375</xdr:colOff>
      <xdr:row>162</xdr:row>
      <xdr:rowOff>133349</xdr:rowOff>
    </xdr:to>
    <xdr:sp macro="" textlink="">
      <xdr:nvSpPr>
        <xdr:cNvPr id="143372" name="159">
          <a:extLst>
            <a:ext uri="{FF2B5EF4-FFF2-40B4-BE49-F238E27FC236}">
              <a16:creationId xmlns:a16="http://schemas.microsoft.com/office/drawing/2014/main" id="{00000000-0008-0000-0100-00000C300200}"/>
            </a:ext>
          </a:extLst>
        </xdr:cNvPr>
        <xdr:cNvSpPr/>
      </xdr:nvSpPr>
      <xdr:spPr>
        <a:xfrm>
          <a:off x="17770348" y="24913589"/>
          <a:ext cx="436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678688</xdr:colOff>
      <xdr:row>162</xdr:row>
      <xdr:rowOff>76199</xdr:rowOff>
    </xdr:from>
    <xdr:to>
      <xdr:col>33</xdr:col>
      <xdr:colOff>721105</xdr:colOff>
      <xdr:row>162</xdr:row>
      <xdr:rowOff>76199</xdr:rowOff>
    </xdr:to>
    <xdr:cxnSp macro="">
      <xdr:nvCxnSpPr>
        <xdr:cNvPr id="143373" name="직선 화살표 연결선 143372">
          <a:extLst>
            <a:ext uri="{FF2B5EF4-FFF2-40B4-BE49-F238E27FC236}">
              <a16:creationId xmlns:a16="http://schemas.microsoft.com/office/drawing/2014/main" id="{00000000-0008-0000-0100-00000D300200}"/>
            </a:ext>
          </a:extLst>
        </xdr:cNvPr>
        <xdr:cNvCxnSpPr/>
      </xdr:nvCxnSpPr>
      <xdr:spPr>
        <a:xfrm>
          <a:off x="17770348" y="24970739"/>
          <a:ext cx="4241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339344</xdr:colOff>
      <xdr:row>161</xdr:row>
      <xdr:rowOff>19049</xdr:rowOff>
    </xdr:from>
    <xdr:to>
      <xdr:col>33</xdr:col>
      <xdr:colOff>679958</xdr:colOff>
      <xdr:row>161</xdr:row>
      <xdr:rowOff>133349</xdr:rowOff>
    </xdr:to>
    <xdr:sp macro="" textlink="">
      <xdr:nvSpPr>
        <xdr:cNvPr id="143374" name="158">
          <a:extLst>
            <a:ext uri="{FF2B5EF4-FFF2-40B4-BE49-F238E27FC236}">
              <a16:creationId xmlns:a16="http://schemas.microsoft.com/office/drawing/2014/main" id="{00000000-0008-0000-0100-00000E300200}"/>
            </a:ext>
          </a:extLst>
        </xdr:cNvPr>
        <xdr:cNvSpPr/>
      </xdr:nvSpPr>
      <xdr:spPr>
        <a:xfrm>
          <a:off x="17431004" y="24761189"/>
          <a:ext cx="3406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339344</xdr:colOff>
      <xdr:row>161</xdr:row>
      <xdr:rowOff>76199</xdr:rowOff>
    </xdr:from>
    <xdr:to>
      <xdr:col>33</xdr:col>
      <xdr:colOff>678688</xdr:colOff>
      <xdr:row>161</xdr:row>
      <xdr:rowOff>76199</xdr:rowOff>
    </xdr:to>
    <xdr:cxnSp macro="">
      <xdr:nvCxnSpPr>
        <xdr:cNvPr id="143375" name="직선 화살표 연결선 143374">
          <a:extLst>
            <a:ext uri="{FF2B5EF4-FFF2-40B4-BE49-F238E27FC236}">
              <a16:creationId xmlns:a16="http://schemas.microsoft.com/office/drawing/2014/main" id="{00000000-0008-0000-0100-00000F300200}"/>
            </a:ext>
          </a:extLst>
        </xdr:cNvPr>
        <xdr:cNvCxnSpPr/>
      </xdr:nvCxnSpPr>
      <xdr:spPr>
        <a:xfrm>
          <a:off x="17431004" y="24818339"/>
          <a:ext cx="33934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xdr:colOff>
      <xdr:row>160</xdr:row>
      <xdr:rowOff>19049</xdr:rowOff>
    </xdr:from>
    <xdr:to>
      <xdr:col>33</xdr:col>
      <xdr:colOff>340614</xdr:colOff>
      <xdr:row>160</xdr:row>
      <xdr:rowOff>133349</xdr:rowOff>
    </xdr:to>
    <xdr:sp macro="" textlink="">
      <xdr:nvSpPr>
        <xdr:cNvPr id="143376" name="157">
          <a:extLst>
            <a:ext uri="{FF2B5EF4-FFF2-40B4-BE49-F238E27FC236}">
              <a16:creationId xmlns:a16="http://schemas.microsoft.com/office/drawing/2014/main" id="{00000000-0008-0000-0100-000010300200}"/>
            </a:ext>
          </a:extLst>
        </xdr:cNvPr>
        <xdr:cNvSpPr/>
      </xdr:nvSpPr>
      <xdr:spPr>
        <a:xfrm>
          <a:off x="17091661" y="24608789"/>
          <a:ext cx="3406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xdr:colOff>
      <xdr:row>160</xdr:row>
      <xdr:rowOff>76199</xdr:rowOff>
    </xdr:from>
    <xdr:to>
      <xdr:col>33</xdr:col>
      <xdr:colOff>339344</xdr:colOff>
      <xdr:row>160</xdr:row>
      <xdr:rowOff>76199</xdr:rowOff>
    </xdr:to>
    <xdr:cxnSp macro="">
      <xdr:nvCxnSpPr>
        <xdr:cNvPr id="143377" name="직선 화살표 연결선 143376">
          <a:extLst>
            <a:ext uri="{FF2B5EF4-FFF2-40B4-BE49-F238E27FC236}">
              <a16:creationId xmlns:a16="http://schemas.microsoft.com/office/drawing/2014/main" id="{00000000-0008-0000-0100-000011300200}"/>
            </a:ext>
          </a:extLst>
        </xdr:cNvPr>
        <xdr:cNvCxnSpPr/>
      </xdr:nvCxnSpPr>
      <xdr:spPr>
        <a:xfrm>
          <a:off x="17091661" y="24665939"/>
          <a:ext cx="3393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985192</xdr:colOff>
      <xdr:row>159</xdr:row>
      <xdr:rowOff>19049</xdr:rowOff>
    </xdr:from>
    <xdr:to>
      <xdr:col>33</xdr:col>
      <xdr:colOff>1270</xdr:colOff>
      <xdr:row>159</xdr:row>
      <xdr:rowOff>133349</xdr:rowOff>
    </xdr:to>
    <xdr:sp macro="" textlink="">
      <xdr:nvSpPr>
        <xdr:cNvPr id="143378" name="156">
          <a:extLst>
            <a:ext uri="{FF2B5EF4-FFF2-40B4-BE49-F238E27FC236}">
              <a16:creationId xmlns:a16="http://schemas.microsoft.com/office/drawing/2014/main" id="{00000000-0008-0000-0100-000012300200}"/>
            </a:ext>
          </a:extLst>
        </xdr:cNvPr>
        <xdr:cNvSpPr/>
      </xdr:nvSpPr>
      <xdr:spPr>
        <a:xfrm>
          <a:off x="16804312" y="24456389"/>
          <a:ext cx="28861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985192</xdr:colOff>
      <xdr:row>159</xdr:row>
      <xdr:rowOff>76199</xdr:rowOff>
    </xdr:from>
    <xdr:to>
      <xdr:col>33</xdr:col>
      <xdr:colOff>1</xdr:colOff>
      <xdr:row>159</xdr:row>
      <xdr:rowOff>76199</xdr:rowOff>
    </xdr:to>
    <xdr:cxnSp macro="">
      <xdr:nvCxnSpPr>
        <xdr:cNvPr id="143379" name="직선 화살표 연결선 143378">
          <a:extLst>
            <a:ext uri="{FF2B5EF4-FFF2-40B4-BE49-F238E27FC236}">
              <a16:creationId xmlns:a16="http://schemas.microsoft.com/office/drawing/2014/main" id="{00000000-0008-0000-0100-000013300200}"/>
            </a:ext>
          </a:extLst>
        </xdr:cNvPr>
        <xdr:cNvCxnSpPr/>
      </xdr:nvCxnSpPr>
      <xdr:spPr>
        <a:xfrm>
          <a:off x="16804312" y="24513539"/>
          <a:ext cx="2873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697844</xdr:colOff>
      <xdr:row>158</xdr:row>
      <xdr:rowOff>19049</xdr:rowOff>
    </xdr:from>
    <xdr:to>
      <xdr:col>32</xdr:col>
      <xdr:colOff>986462</xdr:colOff>
      <xdr:row>158</xdr:row>
      <xdr:rowOff>133349</xdr:rowOff>
    </xdr:to>
    <xdr:sp macro="" textlink="">
      <xdr:nvSpPr>
        <xdr:cNvPr id="143380" name="155">
          <a:extLst>
            <a:ext uri="{FF2B5EF4-FFF2-40B4-BE49-F238E27FC236}">
              <a16:creationId xmlns:a16="http://schemas.microsoft.com/office/drawing/2014/main" id="{00000000-0008-0000-0100-000014300200}"/>
            </a:ext>
          </a:extLst>
        </xdr:cNvPr>
        <xdr:cNvSpPr/>
      </xdr:nvSpPr>
      <xdr:spPr>
        <a:xfrm>
          <a:off x="16516964" y="24303989"/>
          <a:ext cx="28861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697844</xdr:colOff>
      <xdr:row>158</xdr:row>
      <xdr:rowOff>76199</xdr:rowOff>
    </xdr:from>
    <xdr:to>
      <xdr:col>32</xdr:col>
      <xdr:colOff>985192</xdr:colOff>
      <xdr:row>158</xdr:row>
      <xdr:rowOff>76199</xdr:rowOff>
    </xdr:to>
    <xdr:cxnSp macro="">
      <xdr:nvCxnSpPr>
        <xdr:cNvPr id="143381" name="직선 화살표 연결선 143380">
          <a:extLst>
            <a:ext uri="{FF2B5EF4-FFF2-40B4-BE49-F238E27FC236}">
              <a16:creationId xmlns:a16="http://schemas.microsoft.com/office/drawing/2014/main" id="{00000000-0008-0000-0100-000015300200}"/>
            </a:ext>
          </a:extLst>
        </xdr:cNvPr>
        <xdr:cNvCxnSpPr/>
      </xdr:nvCxnSpPr>
      <xdr:spPr>
        <a:xfrm>
          <a:off x="16516964" y="24361139"/>
          <a:ext cx="2873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697844</xdr:colOff>
      <xdr:row>157</xdr:row>
      <xdr:rowOff>19049</xdr:rowOff>
    </xdr:from>
    <xdr:to>
      <xdr:col>34</xdr:col>
      <xdr:colOff>1232760</xdr:colOff>
      <xdr:row>157</xdr:row>
      <xdr:rowOff>133349</xdr:rowOff>
    </xdr:to>
    <xdr:sp macro="" textlink="">
      <xdr:nvSpPr>
        <xdr:cNvPr id="143382" name="154">
          <a:extLst>
            <a:ext uri="{FF2B5EF4-FFF2-40B4-BE49-F238E27FC236}">
              <a16:creationId xmlns:a16="http://schemas.microsoft.com/office/drawing/2014/main" id="{00000000-0008-0000-0100-000016300200}"/>
            </a:ext>
          </a:extLst>
        </xdr:cNvPr>
        <xdr:cNvSpPr/>
      </xdr:nvSpPr>
      <xdr:spPr>
        <a:xfrm>
          <a:off x="16516964" y="24151589"/>
          <a:ext cx="307999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697844</xdr:colOff>
      <xdr:row>157</xdr:row>
      <xdr:rowOff>76199</xdr:rowOff>
    </xdr:from>
    <xdr:to>
      <xdr:col>34</xdr:col>
      <xdr:colOff>66566</xdr:colOff>
      <xdr:row>157</xdr:row>
      <xdr:rowOff>76199</xdr:rowOff>
    </xdr:to>
    <xdr:cxnSp macro="">
      <xdr:nvCxnSpPr>
        <xdr:cNvPr id="143383" name="직선 화살표 연결선 143382">
          <a:extLst>
            <a:ext uri="{FF2B5EF4-FFF2-40B4-BE49-F238E27FC236}">
              <a16:creationId xmlns:a16="http://schemas.microsoft.com/office/drawing/2014/main" id="{00000000-0008-0000-0100-000017300200}"/>
            </a:ext>
          </a:extLst>
        </xdr:cNvPr>
        <xdr:cNvCxnSpPr/>
      </xdr:nvCxnSpPr>
      <xdr:spPr>
        <a:xfrm>
          <a:off x="16516964" y="24208739"/>
          <a:ext cx="191380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975614</xdr:colOff>
      <xdr:row>156</xdr:row>
      <xdr:rowOff>19049</xdr:rowOff>
    </xdr:from>
    <xdr:to>
      <xdr:col>33</xdr:col>
      <xdr:colOff>1188973</xdr:colOff>
      <xdr:row>156</xdr:row>
      <xdr:rowOff>133349</xdr:rowOff>
    </xdr:to>
    <xdr:sp macro="" textlink="">
      <xdr:nvSpPr>
        <xdr:cNvPr id="143384" name="153">
          <a:extLst>
            <a:ext uri="{FF2B5EF4-FFF2-40B4-BE49-F238E27FC236}">
              <a16:creationId xmlns:a16="http://schemas.microsoft.com/office/drawing/2014/main" id="{00000000-0008-0000-0100-000018300200}"/>
            </a:ext>
          </a:extLst>
        </xdr:cNvPr>
        <xdr:cNvSpPr/>
      </xdr:nvSpPr>
      <xdr:spPr>
        <a:xfrm>
          <a:off x="18067274" y="23999189"/>
          <a:ext cx="21335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975614</xdr:colOff>
      <xdr:row>156</xdr:row>
      <xdr:rowOff>76199</xdr:rowOff>
    </xdr:from>
    <xdr:to>
      <xdr:col>33</xdr:col>
      <xdr:colOff>975614</xdr:colOff>
      <xdr:row>156</xdr:row>
      <xdr:rowOff>76199</xdr:rowOff>
    </xdr:to>
    <xdr:cxnSp macro="">
      <xdr:nvCxnSpPr>
        <xdr:cNvPr id="143385" name="직선 화살표 연결선 143384">
          <a:extLst>
            <a:ext uri="{FF2B5EF4-FFF2-40B4-BE49-F238E27FC236}">
              <a16:creationId xmlns:a16="http://schemas.microsoft.com/office/drawing/2014/main" id="{00000000-0008-0000-0100-000019300200}"/>
            </a:ext>
          </a:extLst>
        </xdr:cNvPr>
        <xdr:cNvCxnSpPr/>
      </xdr:nvCxnSpPr>
      <xdr:spPr>
        <a:xfrm>
          <a:off x="18067274" y="240563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848360</xdr:colOff>
      <xdr:row>155</xdr:row>
      <xdr:rowOff>19049</xdr:rowOff>
    </xdr:from>
    <xdr:to>
      <xdr:col>33</xdr:col>
      <xdr:colOff>976884</xdr:colOff>
      <xdr:row>155</xdr:row>
      <xdr:rowOff>133349</xdr:rowOff>
    </xdr:to>
    <xdr:sp macro="" textlink="">
      <xdr:nvSpPr>
        <xdr:cNvPr id="143386" name="152">
          <a:extLst>
            <a:ext uri="{FF2B5EF4-FFF2-40B4-BE49-F238E27FC236}">
              <a16:creationId xmlns:a16="http://schemas.microsoft.com/office/drawing/2014/main" id="{00000000-0008-0000-0100-00001A300200}"/>
            </a:ext>
          </a:extLst>
        </xdr:cNvPr>
        <xdr:cNvSpPr/>
      </xdr:nvSpPr>
      <xdr:spPr>
        <a:xfrm>
          <a:off x="17940020" y="23846789"/>
          <a:ext cx="1285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848360</xdr:colOff>
      <xdr:row>155</xdr:row>
      <xdr:rowOff>76199</xdr:rowOff>
    </xdr:from>
    <xdr:to>
      <xdr:col>33</xdr:col>
      <xdr:colOff>848360</xdr:colOff>
      <xdr:row>155</xdr:row>
      <xdr:rowOff>76199</xdr:rowOff>
    </xdr:to>
    <xdr:cxnSp macro="">
      <xdr:nvCxnSpPr>
        <xdr:cNvPr id="143387" name="직선 화살표 연결선 143386">
          <a:extLst>
            <a:ext uri="{FF2B5EF4-FFF2-40B4-BE49-F238E27FC236}">
              <a16:creationId xmlns:a16="http://schemas.microsoft.com/office/drawing/2014/main" id="{00000000-0008-0000-0100-00001B300200}"/>
            </a:ext>
          </a:extLst>
        </xdr:cNvPr>
        <xdr:cNvCxnSpPr/>
      </xdr:nvCxnSpPr>
      <xdr:spPr>
        <a:xfrm>
          <a:off x="17940020" y="239039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636270</xdr:colOff>
      <xdr:row>154</xdr:row>
      <xdr:rowOff>19049</xdr:rowOff>
    </xdr:from>
    <xdr:to>
      <xdr:col>33</xdr:col>
      <xdr:colOff>764794</xdr:colOff>
      <xdr:row>154</xdr:row>
      <xdr:rowOff>133349</xdr:rowOff>
    </xdr:to>
    <xdr:sp macro="" textlink="">
      <xdr:nvSpPr>
        <xdr:cNvPr id="143388" name="151">
          <a:extLst>
            <a:ext uri="{FF2B5EF4-FFF2-40B4-BE49-F238E27FC236}">
              <a16:creationId xmlns:a16="http://schemas.microsoft.com/office/drawing/2014/main" id="{00000000-0008-0000-0100-00001C300200}"/>
            </a:ext>
          </a:extLst>
        </xdr:cNvPr>
        <xdr:cNvSpPr/>
      </xdr:nvSpPr>
      <xdr:spPr>
        <a:xfrm>
          <a:off x="17727930" y="23694389"/>
          <a:ext cx="1285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636270</xdr:colOff>
      <xdr:row>154</xdr:row>
      <xdr:rowOff>76199</xdr:rowOff>
    </xdr:from>
    <xdr:to>
      <xdr:col>33</xdr:col>
      <xdr:colOff>636270</xdr:colOff>
      <xdr:row>154</xdr:row>
      <xdr:rowOff>76199</xdr:rowOff>
    </xdr:to>
    <xdr:cxnSp macro="">
      <xdr:nvCxnSpPr>
        <xdr:cNvPr id="143389" name="직선 화살표 연결선 143388">
          <a:extLst>
            <a:ext uri="{FF2B5EF4-FFF2-40B4-BE49-F238E27FC236}">
              <a16:creationId xmlns:a16="http://schemas.microsoft.com/office/drawing/2014/main" id="{00000000-0008-0000-0100-00001D300200}"/>
            </a:ext>
          </a:extLst>
        </xdr:cNvPr>
        <xdr:cNvCxnSpPr/>
      </xdr:nvCxnSpPr>
      <xdr:spPr>
        <a:xfrm>
          <a:off x="17727930" y="237515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424179</xdr:colOff>
      <xdr:row>153</xdr:row>
      <xdr:rowOff>19049</xdr:rowOff>
    </xdr:from>
    <xdr:to>
      <xdr:col>33</xdr:col>
      <xdr:colOff>637540</xdr:colOff>
      <xdr:row>153</xdr:row>
      <xdr:rowOff>133349</xdr:rowOff>
    </xdr:to>
    <xdr:sp macro="" textlink="">
      <xdr:nvSpPr>
        <xdr:cNvPr id="143390" name="150">
          <a:extLst>
            <a:ext uri="{FF2B5EF4-FFF2-40B4-BE49-F238E27FC236}">
              <a16:creationId xmlns:a16="http://schemas.microsoft.com/office/drawing/2014/main" id="{00000000-0008-0000-0100-00001E300200}"/>
            </a:ext>
          </a:extLst>
        </xdr:cNvPr>
        <xdr:cNvSpPr/>
      </xdr:nvSpPr>
      <xdr:spPr>
        <a:xfrm>
          <a:off x="17515839" y="23541989"/>
          <a:ext cx="21336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424179</xdr:colOff>
      <xdr:row>153</xdr:row>
      <xdr:rowOff>76199</xdr:rowOff>
    </xdr:from>
    <xdr:to>
      <xdr:col>33</xdr:col>
      <xdr:colOff>424179</xdr:colOff>
      <xdr:row>153</xdr:row>
      <xdr:rowOff>76199</xdr:rowOff>
    </xdr:to>
    <xdr:cxnSp macro="">
      <xdr:nvCxnSpPr>
        <xdr:cNvPr id="143391" name="직선 화살표 연결선 143390">
          <a:extLst>
            <a:ext uri="{FF2B5EF4-FFF2-40B4-BE49-F238E27FC236}">
              <a16:creationId xmlns:a16="http://schemas.microsoft.com/office/drawing/2014/main" id="{00000000-0008-0000-0100-00001F300200}"/>
            </a:ext>
          </a:extLst>
        </xdr:cNvPr>
        <xdr:cNvCxnSpPr/>
      </xdr:nvCxnSpPr>
      <xdr:spPr>
        <a:xfrm>
          <a:off x="17515839" y="235991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296927</xdr:colOff>
      <xdr:row>152</xdr:row>
      <xdr:rowOff>19049</xdr:rowOff>
    </xdr:from>
    <xdr:to>
      <xdr:col>33</xdr:col>
      <xdr:colOff>425449</xdr:colOff>
      <xdr:row>152</xdr:row>
      <xdr:rowOff>133349</xdr:rowOff>
    </xdr:to>
    <xdr:sp macro="" textlink="">
      <xdr:nvSpPr>
        <xdr:cNvPr id="143392" name="149">
          <a:extLst>
            <a:ext uri="{FF2B5EF4-FFF2-40B4-BE49-F238E27FC236}">
              <a16:creationId xmlns:a16="http://schemas.microsoft.com/office/drawing/2014/main" id="{00000000-0008-0000-0100-000020300200}"/>
            </a:ext>
          </a:extLst>
        </xdr:cNvPr>
        <xdr:cNvSpPr/>
      </xdr:nvSpPr>
      <xdr:spPr>
        <a:xfrm>
          <a:off x="17388587" y="23389589"/>
          <a:ext cx="1285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296927</xdr:colOff>
      <xdr:row>152</xdr:row>
      <xdr:rowOff>76199</xdr:rowOff>
    </xdr:from>
    <xdr:to>
      <xdr:col>33</xdr:col>
      <xdr:colOff>296927</xdr:colOff>
      <xdr:row>152</xdr:row>
      <xdr:rowOff>76199</xdr:rowOff>
    </xdr:to>
    <xdr:cxnSp macro="">
      <xdr:nvCxnSpPr>
        <xdr:cNvPr id="143393" name="직선 화살표 연결선 143392">
          <a:extLst>
            <a:ext uri="{FF2B5EF4-FFF2-40B4-BE49-F238E27FC236}">
              <a16:creationId xmlns:a16="http://schemas.microsoft.com/office/drawing/2014/main" id="{00000000-0008-0000-0100-000021300200}"/>
            </a:ext>
          </a:extLst>
        </xdr:cNvPr>
        <xdr:cNvCxnSpPr/>
      </xdr:nvCxnSpPr>
      <xdr:spPr>
        <a:xfrm>
          <a:off x="17388587" y="234467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721105</xdr:colOff>
      <xdr:row>151</xdr:row>
      <xdr:rowOff>19049</xdr:rowOff>
    </xdr:from>
    <xdr:to>
      <xdr:col>33</xdr:col>
      <xdr:colOff>1019301</xdr:colOff>
      <xdr:row>151</xdr:row>
      <xdr:rowOff>133349</xdr:rowOff>
    </xdr:to>
    <xdr:sp macro="" textlink="">
      <xdr:nvSpPr>
        <xdr:cNvPr id="143394" name="148">
          <a:extLst>
            <a:ext uri="{FF2B5EF4-FFF2-40B4-BE49-F238E27FC236}">
              <a16:creationId xmlns:a16="http://schemas.microsoft.com/office/drawing/2014/main" id="{00000000-0008-0000-0100-000022300200}"/>
            </a:ext>
          </a:extLst>
        </xdr:cNvPr>
        <xdr:cNvSpPr/>
      </xdr:nvSpPr>
      <xdr:spPr>
        <a:xfrm>
          <a:off x="17812765" y="23237189"/>
          <a:ext cx="29819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721105</xdr:colOff>
      <xdr:row>151</xdr:row>
      <xdr:rowOff>76199</xdr:rowOff>
    </xdr:from>
    <xdr:to>
      <xdr:col>33</xdr:col>
      <xdr:colOff>721105</xdr:colOff>
      <xdr:row>151</xdr:row>
      <xdr:rowOff>76199</xdr:rowOff>
    </xdr:to>
    <xdr:cxnSp macro="">
      <xdr:nvCxnSpPr>
        <xdr:cNvPr id="143395" name="직선 화살표 연결선 143394">
          <a:extLst>
            <a:ext uri="{FF2B5EF4-FFF2-40B4-BE49-F238E27FC236}">
              <a16:creationId xmlns:a16="http://schemas.microsoft.com/office/drawing/2014/main" id="{00000000-0008-0000-0100-000023300200}"/>
            </a:ext>
          </a:extLst>
        </xdr:cNvPr>
        <xdr:cNvCxnSpPr/>
      </xdr:nvCxnSpPr>
      <xdr:spPr>
        <a:xfrm>
          <a:off x="17812765" y="232943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296927</xdr:colOff>
      <xdr:row>150</xdr:row>
      <xdr:rowOff>19049</xdr:rowOff>
    </xdr:from>
    <xdr:to>
      <xdr:col>33</xdr:col>
      <xdr:colOff>1188973</xdr:colOff>
      <xdr:row>150</xdr:row>
      <xdr:rowOff>133349</xdr:rowOff>
    </xdr:to>
    <xdr:sp macro="" textlink="">
      <xdr:nvSpPr>
        <xdr:cNvPr id="143396" name="147">
          <a:extLst>
            <a:ext uri="{FF2B5EF4-FFF2-40B4-BE49-F238E27FC236}">
              <a16:creationId xmlns:a16="http://schemas.microsoft.com/office/drawing/2014/main" id="{00000000-0008-0000-0100-000024300200}"/>
            </a:ext>
          </a:extLst>
        </xdr:cNvPr>
        <xdr:cNvSpPr/>
      </xdr:nvSpPr>
      <xdr:spPr>
        <a:xfrm>
          <a:off x="17388587" y="23084789"/>
          <a:ext cx="89204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296927</xdr:colOff>
      <xdr:row>150</xdr:row>
      <xdr:rowOff>76199</xdr:rowOff>
    </xdr:from>
    <xdr:to>
      <xdr:col>33</xdr:col>
      <xdr:colOff>296927</xdr:colOff>
      <xdr:row>150</xdr:row>
      <xdr:rowOff>76199</xdr:rowOff>
    </xdr:to>
    <xdr:cxnSp macro="">
      <xdr:nvCxnSpPr>
        <xdr:cNvPr id="143397" name="직선 화살표 연결선 143396">
          <a:extLst>
            <a:ext uri="{FF2B5EF4-FFF2-40B4-BE49-F238E27FC236}">
              <a16:creationId xmlns:a16="http://schemas.microsoft.com/office/drawing/2014/main" id="{00000000-0008-0000-0100-000025300200}"/>
            </a:ext>
          </a:extLst>
        </xdr:cNvPr>
        <xdr:cNvCxnSpPr/>
      </xdr:nvCxnSpPr>
      <xdr:spPr>
        <a:xfrm>
          <a:off x="17388587" y="231419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1230122</xdr:colOff>
      <xdr:row>149</xdr:row>
      <xdr:rowOff>19049</xdr:rowOff>
    </xdr:from>
    <xdr:to>
      <xdr:col>34</xdr:col>
      <xdr:colOff>83369</xdr:colOff>
      <xdr:row>149</xdr:row>
      <xdr:rowOff>133349</xdr:rowOff>
    </xdr:to>
    <xdr:sp macro="" textlink="">
      <xdr:nvSpPr>
        <xdr:cNvPr id="143398" name="146">
          <a:extLst>
            <a:ext uri="{FF2B5EF4-FFF2-40B4-BE49-F238E27FC236}">
              <a16:creationId xmlns:a16="http://schemas.microsoft.com/office/drawing/2014/main" id="{00000000-0008-0000-0100-000026300200}"/>
            </a:ext>
          </a:extLst>
        </xdr:cNvPr>
        <xdr:cNvSpPr/>
      </xdr:nvSpPr>
      <xdr:spPr>
        <a:xfrm>
          <a:off x="18321782" y="22932389"/>
          <a:ext cx="1257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1230122</xdr:colOff>
      <xdr:row>149</xdr:row>
      <xdr:rowOff>76199</xdr:rowOff>
    </xdr:from>
    <xdr:to>
      <xdr:col>33</xdr:col>
      <xdr:colOff>1230122</xdr:colOff>
      <xdr:row>149</xdr:row>
      <xdr:rowOff>76199</xdr:rowOff>
    </xdr:to>
    <xdr:cxnSp macro="">
      <xdr:nvCxnSpPr>
        <xdr:cNvPr id="143399" name="직선 화살표 연결선 143398">
          <a:extLst>
            <a:ext uri="{FF2B5EF4-FFF2-40B4-BE49-F238E27FC236}">
              <a16:creationId xmlns:a16="http://schemas.microsoft.com/office/drawing/2014/main" id="{00000000-0008-0000-0100-000027300200}"/>
            </a:ext>
          </a:extLst>
        </xdr:cNvPr>
        <xdr:cNvCxnSpPr/>
      </xdr:nvCxnSpPr>
      <xdr:spPr>
        <a:xfrm>
          <a:off x="18321782" y="229895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1018032</xdr:colOff>
      <xdr:row>148</xdr:row>
      <xdr:rowOff>19049</xdr:rowOff>
    </xdr:from>
    <xdr:to>
      <xdr:col>33</xdr:col>
      <xdr:colOff>1231392</xdr:colOff>
      <xdr:row>148</xdr:row>
      <xdr:rowOff>133349</xdr:rowOff>
    </xdr:to>
    <xdr:sp macro="" textlink="">
      <xdr:nvSpPr>
        <xdr:cNvPr id="143400" name="145">
          <a:extLst>
            <a:ext uri="{FF2B5EF4-FFF2-40B4-BE49-F238E27FC236}">
              <a16:creationId xmlns:a16="http://schemas.microsoft.com/office/drawing/2014/main" id="{00000000-0008-0000-0100-000028300200}"/>
            </a:ext>
          </a:extLst>
        </xdr:cNvPr>
        <xdr:cNvSpPr/>
      </xdr:nvSpPr>
      <xdr:spPr>
        <a:xfrm>
          <a:off x="18109692" y="22779989"/>
          <a:ext cx="2133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1018032</xdr:colOff>
      <xdr:row>148</xdr:row>
      <xdr:rowOff>76199</xdr:rowOff>
    </xdr:from>
    <xdr:to>
      <xdr:col>33</xdr:col>
      <xdr:colOff>1018032</xdr:colOff>
      <xdr:row>148</xdr:row>
      <xdr:rowOff>76199</xdr:rowOff>
    </xdr:to>
    <xdr:cxnSp macro="">
      <xdr:nvCxnSpPr>
        <xdr:cNvPr id="143401" name="직선 화살표 연결선 143400">
          <a:extLst>
            <a:ext uri="{FF2B5EF4-FFF2-40B4-BE49-F238E27FC236}">
              <a16:creationId xmlns:a16="http://schemas.microsoft.com/office/drawing/2014/main" id="{00000000-0008-0000-0100-000029300200}"/>
            </a:ext>
          </a:extLst>
        </xdr:cNvPr>
        <xdr:cNvCxnSpPr/>
      </xdr:nvCxnSpPr>
      <xdr:spPr>
        <a:xfrm>
          <a:off x="18109692" y="228371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1018032</xdr:colOff>
      <xdr:row>147</xdr:row>
      <xdr:rowOff>19049</xdr:rowOff>
    </xdr:from>
    <xdr:to>
      <xdr:col>34</xdr:col>
      <xdr:colOff>83369</xdr:colOff>
      <xdr:row>147</xdr:row>
      <xdr:rowOff>133349</xdr:rowOff>
    </xdr:to>
    <xdr:sp macro="" textlink="">
      <xdr:nvSpPr>
        <xdr:cNvPr id="143402" name="144">
          <a:extLst>
            <a:ext uri="{FF2B5EF4-FFF2-40B4-BE49-F238E27FC236}">
              <a16:creationId xmlns:a16="http://schemas.microsoft.com/office/drawing/2014/main" id="{00000000-0008-0000-0100-00002A300200}"/>
            </a:ext>
          </a:extLst>
        </xdr:cNvPr>
        <xdr:cNvSpPr/>
      </xdr:nvSpPr>
      <xdr:spPr>
        <a:xfrm>
          <a:off x="18109692" y="22627589"/>
          <a:ext cx="33787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1018032</xdr:colOff>
      <xdr:row>147</xdr:row>
      <xdr:rowOff>76199</xdr:rowOff>
    </xdr:from>
    <xdr:to>
      <xdr:col>33</xdr:col>
      <xdr:colOff>1018032</xdr:colOff>
      <xdr:row>147</xdr:row>
      <xdr:rowOff>76199</xdr:rowOff>
    </xdr:to>
    <xdr:cxnSp macro="">
      <xdr:nvCxnSpPr>
        <xdr:cNvPr id="143403" name="직선 화살표 연결선 143402">
          <a:extLst>
            <a:ext uri="{FF2B5EF4-FFF2-40B4-BE49-F238E27FC236}">
              <a16:creationId xmlns:a16="http://schemas.microsoft.com/office/drawing/2014/main" id="{00000000-0008-0000-0100-00002B300200}"/>
            </a:ext>
          </a:extLst>
        </xdr:cNvPr>
        <xdr:cNvCxnSpPr/>
      </xdr:nvCxnSpPr>
      <xdr:spPr>
        <a:xfrm>
          <a:off x="18109692" y="226847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1149390</xdr:colOff>
      <xdr:row>146</xdr:row>
      <xdr:rowOff>19049</xdr:rowOff>
    </xdr:from>
    <xdr:to>
      <xdr:col>34</xdr:col>
      <xdr:colOff>1191710</xdr:colOff>
      <xdr:row>146</xdr:row>
      <xdr:rowOff>133349</xdr:rowOff>
    </xdr:to>
    <xdr:sp macro="" textlink="">
      <xdr:nvSpPr>
        <xdr:cNvPr id="143404" name="143">
          <a:extLst>
            <a:ext uri="{FF2B5EF4-FFF2-40B4-BE49-F238E27FC236}">
              <a16:creationId xmlns:a16="http://schemas.microsoft.com/office/drawing/2014/main" id="{00000000-0008-0000-0100-00002C300200}"/>
            </a:ext>
          </a:extLst>
        </xdr:cNvPr>
        <xdr:cNvSpPr/>
      </xdr:nvSpPr>
      <xdr:spPr>
        <a:xfrm>
          <a:off x="19513590" y="22475189"/>
          <a:ext cx="42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1149390</xdr:colOff>
      <xdr:row>146</xdr:row>
      <xdr:rowOff>76199</xdr:rowOff>
    </xdr:from>
    <xdr:to>
      <xdr:col>34</xdr:col>
      <xdr:colOff>1149390</xdr:colOff>
      <xdr:row>146</xdr:row>
      <xdr:rowOff>76199</xdr:rowOff>
    </xdr:to>
    <xdr:cxnSp macro="">
      <xdr:nvCxnSpPr>
        <xdr:cNvPr id="143405" name="직선 화살표 연결선 143404">
          <a:extLst>
            <a:ext uri="{FF2B5EF4-FFF2-40B4-BE49-F238E27FC236}">
              <a16:creationId xmlns:a16="http://schemas.microsoft.com/office/drawing/2014/main" id="{00000000-0008-0000-0100-00002D300200}"/>
            </a:ext>
          </a:extLst>
        </xdr:cNvPr>
        <xdr:cNvCxnSpPr/>
      </xdr:nvCxnSpPr>
      <xdr:spPr>
        <a:xfrm>
          <a:off x="19513590" y="225323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1108342</xdr:colOff>
      <xdr:row>145</xdr:row>
      <xdr:rowOff>19049</xdr:rowOff>
    </xdr:from>
    <xdr:to>
      <xdr:col>34</xdr:col>
      <xdr:colOff>1150660</xdr:colOff>
      <xdr:row>145</xdr:row>
      <xdr:rowOff>133349</xdr:rowOff>
    </xdr:to>
    <xdr:sp macro="" textlink="">
      <xdr:nvSpPr>
        <xdr:cNvPr id="143406" name="142">
          <a:extLst>
            <a:ext uri="{FF2B5EF4-FFF2-40B4-BE49-F238E27FC236}">
              <a16:creationId xmlns:a16="http://schemas.microsoft.com/office/drawing/2014/main" id="{00000000-0008-0000-0100-00002E300200}"/>
            </a:ext>
          </a:extLst>
        </xdr:cNvPr>
        <xdr:cNvSpPr/>
      </xdr:nvSpPr>
      <xdr:spPr>
        <a:xfrm>
          <a:off x="19472542" y="22322789"/>
          <a:ext cx="4231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1108342</xdr:colOff>
      <xdr:row>145</xdr:row>
      <xdr:rowOff>76199</xdr:rowOff>
    </xdr:from>
    <xdr:to>
      <xdr:col>34</xdr:col>
      <xdr:colOff>1108342</xdr:colOff>
      <xdr:row>145</xdr:row>
      <xdr:rowOff>76199</xdr:rowOff>
    </xdr:to>
    <xdr:cxnSp macro="">
      <xdr:nvCxnSpPr>
        <xdr:cNvPr id="143407" name="직선 화살표 연결선 143406">
          <a:extLst>
            <a:ext uri="{FF2B5EF4-FFF2-40B4-BE49-F238E27FC236}">
              <a16:creationId xmlns:a16="http://schemas.microsoft.com/office/drawing/2014/main" id="{00000000-0008-0000-0100-00002F300200}"/>
            </a:ext>
          </a:extLst>
        </xdr:cNvPr>
        <xdr:cNvCxnSpPr/>
      </xdr:nvCxnSpPr>
      <xdr:spPr>
        <a:xfrm>
          <a:off x="19472542" y="223799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1067291</xdr:colOff>
      <xdr:row>144</xdr:row>
      <xdr:rowOff>19049</xdr:rowOff>
    </xdr:from>
    <xdr:to>
      <xdr:col>34</xdr:col>
      <xdr:colOff>1109611</xdr:colOff>
      <xdr:row>144</xdr:row>
      <xdr:rowOff>133349</xdr:rowOff>
    </xdr:to>
    <xdr:sp macro="" textlink="">
      <xdr:nvSpPr>
        <xdr:cNvPr id="143408" name="141">
          <a:extLst>
            <a:ext uri="{FF2B5EF4-FFF2-40B4-BE49-F238E27FC236}">
              <a16:creationId xmlns:a16="http://schemas.microsoft.com/office/drawing/2014/main" id="{00000000-0008-0000-0100-000030300200}"/>
            </a:ext>
          </a:extLst>
        </xdr:cNvPr>
        <xdr:cNvSpPr/>
      </xdr:nvSpPr>
      <xdr:spPr>
        <a:xfrm>
          <a:off x="19431491" y="22170389"/>
          <a:ext cx="42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1067291</xdr:colOff>
      <xdr:row>144</xdr:row>
      <xdr:rowOff>76199</xdr:rowOff>
    </xdr:from>
    <xdr:to>
      <xdr:col>34</xdr:col>
      <xdr:colOff>1067291</xdr:colOff>
      <xdr:row>144</xdr:row>
      <xdr:rowOff>76199</xdr:rowOff>
    </xdr:to>
    <xdr:cxnSp macro="">
      <xdr:nvCxnSpPr>
        <xdr:cNvPr id="143409" name="직선 화살표 연결선 143408">
          <a:extLst>
            <a:ext uri="{FF2B5EF4-FFF2-40B4-BE49-F238E27FC236}">
              <a16:creationId xmlns:a16="http://schemas.microsoft.com/office/drawing/2014/main" id="{00000000-0008-0000-0100-000031300200}"/>
            </a:ext>
          </a:extLst>
        </xdr:cNvPr>
        <xdr:cNvCxnSpPr/>
      </xdr:nvCxnSpPr>
      <xdr:spPr>
        <a:xfrm>
          <a:off x="19431491" y="222275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1067291</xdr:colOff>
      <xdr:row>143</xdr:row>
      <xdr:rowOff>19049</xdr:rowOff>
    </xdr:from>
    <xdr:to>
      <xdr:col>34</xdr:col>
      <xdr:colOff>1232760</xdr:colOff>
      <xdr:row>143</xdr:row>
      <xdr:rowOff>133349</xdr:rowOff>
    </xdr:to>
    <xdr:sp macro="" textlink="">
      <xdr:nvSpPr>
        <xdr:cNvPr id="143410" name="140">
          <a:extLst>
            <a:ext uri="{FF2B5EF4-FFF2-40B4-BE49-F238E27FC236}">
              <a16:creationId xmlns:a16="http://schemas.microsoft.com/office/drawing/2014/main" id="{00000000-0008-0000-0100-000032300200}"/>
            </a:ext>
          </a:extLst>
        </xdr:cNvPr>
        <xdr:cNvSpPr/>
      </xdr:nvSpPr>
      <xdr:spPr>
        <a:xfrm>
          <a:off x="19431491" y="22017989"/>
          <a:ext cx="16546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1067291</xdr:colOff>
      <xdr:row>143</xdr:row>
      <xdr:rowOff>76199</xdr:rowOff>
    </xdr:from>
    <xdr:to>
      <xdr:col>34</xdr:col>
      <xdr:colOff>1067291</xdr:colOff>
      <xdr:row>143</xdr:row>
      <xdr:rowOff>76199</xdr:rowOff>
    </xdr:to>
    <xdr:cxnSp macro="">
      <xdr:nvCxnSpPr>
        <xdr:cNvPr id="143411" name="직선 화살표 연결선 143410">
          <a:extLst>
            <a:ext uri="{FF2B5EF4-FFF2-40B4-BE49-F238E27FC236}">
              <a16:creationId xmlns:a16="http://schemas.microsoft.com/office/drawing/2014/main" id="{00000000-0008-0000-0100-000033300200}"/>
            </a:ext>
          </a:extLst>
        </xdr:cNvPr>
        <xdr:cNvCxnSpPr/>
      </xdr:nvCxnSpPr>
      <xdr:spPr>
        <a:xfrm>
          <a:off x="19431491" y="220751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1067291</xdr:colOff>
      <xdr:row>142</xdr:row>
      <xdr:rowOff>19049</xdr:rowOff>
    </xdr:from>
    <xdr:to>
      <xdr:col>34</xdr:col>
      <xdr:colOff>1232760</xdr:colOff>
      <xdr:row>142</xdr:row>
      <xdr:rowOff>133349</xdr:rowOff>
    </xdr:to>
    <xdr:sp macro="" textlink="">
      <xdr:nvSpPr>
        <xdr:cNvPr id="143412" name="139">
          <a:extLst>
            <a:ext uri="{FF2B5EF4-FFF2-40B4-BE49-F238E27FC236}">
              <a16:creationId xmlns:a16="http://schemas.microsoft.com/office/drawing/2014/main" id="{00000000-0008-0000-0100-000034300200}"/>
            </a:ext>
          </a:extLst>
        </xdr:cNvPr>
        <xdr:cNvSpPr/>
      </xdr:nvSpPr>
      <xdr:spPr>
        <a:xfrm>
          <a:off x="19431491" y="21865589"/>
          <a:ext cx="16546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1067291</xdr:colOff>
      <xdr:row>142</xdr:row>
      <xdr:rowOff>76199</xdr:rowOff>
    </xdr:from>
    <xdr:to>
      <xdr:col>34</xdr:col>
      <xdr:colOff>1067291</xdr:colOff>
      <xdr:row>142</xdr:row>
      <xdr:rowOff>76199</xdr:rowOff>
    </xdr:to>
    <xdr:cxnSp macro="">
      <xdr:nvCxnSpPr>
        <xdr:cNvPr id="143413" name="직선 화살표 연결선 143412">
          <a:extLst>
            <a:ext uri="{FF2B5EF4-FFF2-40B4-BE49-F238E27FC236}">
              <a16:creationId xmlns:a16="http://schemas.microsoft.com/office/drawing/2014/main" id="{00000000-0008-0000-0100-000035300200}"/>
            </a:ext>
          </a:extLst>
        </xdr:cNvPr>
        <xdr:cNvCxnSpPr/>
      </xdr:nvCxnSpPr>
      <xdr:spPr>
        <a:xfrm>
          <a:off x="19431491" y="219227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296927</xdr:colOff>
      <xdr:row>141</xdr:row>
      <xdr:rowOff>19049</xdr:rowOff>
    </xdr:from>
    <xdr:to>
      <xdr:col>34</xdr:col>
      <xdr:colOff>1232760</xdr:colOff>
      <xdr:row>141</xdr:row>
      <xdr:rowOff>133349</xdr:rowOff>
    </xdr:to>
    <xdr:sp macro="" textlink="">
      <xdr:nvSpPr>
        <xdr:cNvPr id="143414" name="138">
          <a:extLst>
            <a:ext uri="{FF2B5EF4-FFF2-40B4-BE49-F238E27FC236}">
              <a16:creationId xmlns:a16="http://schemas.microsoft.com/office/drawing/2014/main" id="{00000000-0008-0000-0100-000036300200}"/>
            </a:ext>
          </a:extLst>
        </xdr:cNvPr>
        <xdr:cNvSpPr/>
      </xdr:nvSpPr>
      <xdr:spPr>
        <a:xfrm>
          <a:off x="17388587" y="21713189"/>
          <a:ext cx="220837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296927</xdr:colOff>
      <xdr:row>141</xdr:row>
      <xdr:rowOff>76199</xdr:rowOff>
    </xdr:from>
    <xdr:to>
      <xdr:col>33</xdr:col>
      <xdr:colOff>296927</xdr:colOff>
      <xdr:row>141</xdr:row>
      <xdr:rowOff>76199</xdr:rowOff>
    </xdr:to>
    <xdr:cxnSp macro="">
      <xdr:nvCxnSpPr>
        <xdr:cNvPr id="143415" name="직선 화살표 연결선 143414">
          <a:extLst>
            <a:ext uri="{FF2B5EF4-FFF2-40B4-BE49-F238E27FC236}">
              <a16:creationId xmlns:a16="http://schemas.microsoft.com/office/drawing/2014/main" id="{00000000-0008-0000-0100-000037300200}"/>
            </a:ext>
          </a:extLst>
        </xdr:cNvPr>
        <xdr:cNvCxnSpPr/>
      </xdr:nvCxnSpPr>
      <xdr:spPr>
        <a:xfrm>
          <a:off x="17388587" y="217703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492596</xdr:colOff>
      <xdr:row>140</xdr:row>
      <xdr:rowOff>19049</xdr:rowOff>
    </xdr:from>
    <xdr:to>
      <xdr:col>32</xdr:col>
      <xdr:colOff>699114</xdr:colOff>
      <xdr:row>140</xdr:row>
      <xdr:rowOff>133349</xdr:rowOff>
    </xdr:to>
    <xdr:sp macro="" textlink="">
      <xdr:nvSpPr>
        <xdr:cNvPr id="143416" name="137">
          <a:extLst>
            <a:ext uri="{FF2B5EF4-FFF2-40B4-BE49-F238E27FC236}">
              <a16:creationId xmlns:a16="http://schemas.microsoft.com/office/drawing/2014/main" id="{00000000-0008-0000-0100-000038300200}"/>
            </a:ext>
          </a:extLst>
        </xdr:cNvPr>
        <xdr:cNvSpPr/>
      </xdr:nvSpPr>
      <xdr:spPr>
        <a:xfrm>
          <a:off x="16311716" y="21560789"/>
          <a:ext cx="20651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492596</xdr:colOff>
      <xdr:row>140</xdr:row>
      <xdr:rowOff>76199</xdr:rowOff>
    </xdr:from>
    <xdr:to>
      <xdr:col>32</xdr:col>
      <xdr:colOff>697844</xdr:colOff>
      <xdr:row>140</xdr:row>
      <xdr:rowOff>76199</xdr:rowOff>
    </xdr:to>
    <xdr:cxnSp macro="">
      <xdr:nvCxnSpPr>
        <xdr:cNvPr id="143417" name="직선 화살표 연결선 143416">
          <a:extLst>
            <a:ext uri="{FF2B5EF4-FFF2-40B4-BE49-F238E27FC236}">
              <a16:creationId xmlns:a16="http://schemas.microsoft.com/office/drawing/2014/main" id="{00000000-0008-0000-0100-000039300200}"/>
            </a:ext>
          </a:extLst>
        </xdr:cNvPr>
        <xdr:cNvCxnSpPr/>
      </xdr:nvCxnSpPr>
      <xdr:spPr>
        <a:xfrm>
          <a:off x="16311716" y="21617939"/>
          <a:ext cx="2052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410497</xdr:colOff>
      <xdr:row>139</xdr:row>
      <xdr:rowOff>19049</xdr:rowOff>
    </xdr:from>
    <xdr:to>
      <xdr:col>32</xdr:col>
      <xdr:colOff>493866</xdr:colOff>
      <xdr:row>139</xdr:row>
      <xdr:rowOff>133349</xdr:rowOff>
    </xdr:to>
    <xdr:sp macro="" textlink="">
      <xdr:nvSpPr>
        <xdr:cNvPr id="143418" name="136">
          <a:extLst>
            <a:ext uri="{FF2B5EF4-FFF2-40B4-BE49-F238E27FC236}">
              <a16:creationId xmlns:a16="http://schemas.microsoft.com/office/drawing/2014/main" id="{00000000-0008-0000-0100-00003A300200}"/>
            </a:ext>
          </a:extLst>
        </xdr:cNvPr>
        <xdr:cNvSpPr/>
      </xdr:nvSpPr>
      <xdr:spPr>
        <a:xfrm>
          <a:off x="16229617" y="21408389"/>
          <a:ext cx="8336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410497</xdr:colOff>
      <xdr:row>139</xdr:row>
      <xdr:rowOff>76199</xdr:rowOff>
    </xdr:from>
    <xdr:to>
      <xdr:col>32</xdr:col>
      <xdr:colOff>492596</xdr:colOff>
      <xdr:row>139</xdr:row>
      <xdr:rowOff>76199</xdr:rowOff>
    </xdr:to>
    <xdr:cxnSp macro="">
      <xdr:nvCxnSpPr>
        <xdr:cNvPr id="143419" name="직선 화살표 연결선 143418">
          <a:extLst>
            <a:ext uri="{FF2B5EF4-FFF2-40B4-BE49-F238E27FC236}">
              <a16:creationId xmlns:a16="http://schemas.microsoft.com/office/drawing/2014/main" id="{00000000-0008-0000-0100-00003B300200}"/>
            </a:ext>
          </a:extLst>
        </xdr:cNvPr>
        <xdr:cNvCxnSpPr/>
      </xdr:nvCxnSpPr>
      <xdr:spPr>
        <a:xfrm>
          <a:off x="16229617" y="21465539"/>
          <a:ext cx="8209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205248</xdr:colOff>
      <xdr:row>138</xdr:row>
      <xdr:rowOff>19049</xdr:rowOff>
    </xdr:from>
    <xdr:to>
      <xdr:col>32</xdr:col>
      <xdr:colOff>288618</xdr:colOff>
      <xdr:row>138</xdr:row>
      <xdr:rowOff>133349</xdr:rowOff>
    </xdr:to>
    <xdr:sp macro="" textlink="">
      <xdr:nvSpPr>
        <xdr:cNvPr id="143420" name="135">
          <a:extLst>
            <a:ext uri="{FF2B5EF4-FFF2-40B4-BE49-F238E27FC236}">
              <a16:creationId xmlns:a16="http://schemas.microsoft.com/office/drawing/2014/main" id="{00000000-0008-0000-0100-00003C300200}"/>
            </a:ext>
          </a:extLst>
        </xdr:cNvPr>
        <xdr:cNvSpPr/>
      </xdr:nvSpPr>
      <xdr:spPr>
        <a:xfrm>
          <a:off x="16024368" y="21255989"/>
          <a:ext cx="833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205248</xdr:colOff>
      <xdr:row>138</xdr:row>
      <xdr:rowOff>76199</xdr:rowOff>
    </xdr:from>
    <xdr:to>
      <xdr:col>32</xdr:col>
      <xdr:colOff>287348</xdr:colOff>
      <xdr:row>138</xdr:row>
      <xdr:rowOff>76199</xdr:rowOff>
    </xdr:to>
    <xdr:cxnSp macro="">
      <xdr:nvCxnSpPr>
        <xdr:cNvPr id="143421" name="직선 화살표 연결선 143420">
          <a:extLst>
            <a:ext uri="{FF2B5EF4-FFF2-40B4-BE49-F238E27FC236}">
              <a16:creationId xmlns:a16="http://schemas.microsoft.com/office/drawing/2014/main" id="{00000000-0008-0000-0100-00003D300200}"/>
            </a:ext>
          </a:extLst>
        </xdr:cNvPr>
        <xdr:cNvCxnSpPr/>
      </xdr:nvCxnSpPr>
      <xdr:spPr>
        <a:xfrm>
          <a:off x="16024368" y="21313139"/>
          <a:ext cx="82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205248</xdr:colOff>
      <xdr:row>137</xdr:row>
      <xdr:rowOff>19049</xdr:rowOff>
    </xdr:from>
    <xdr:to>
      <xdr:col>32</xdr:col>
      <xdr:colOff>699114</xdr:colOff>
      <xdr:row>137</xdr:row>
      <xdr:rowOff>133349</xdr:rowOff>
    </xdr:to>
    <xdr:sp macro="" textlink="">
      <xdr:nvSpPr>
        <xdr:cNvPr id="143422" name="134">
          <a:extLst>
            <a:ext uri="{FF2B5EF4-FFF2-40B4-BE49-F238E27FC236}">
              <a16:creationId xmlns:a16="http://schemas.microsoft.com/office/drawing/2014/main" id="{00000000-0008-0000-0100-00003E300200}"/>
            </a:ext>
          </a:extLst>
        </xdr:cNvPr>
        <xdr:cNvSpPr/>
      </xdr:nvSpPr>
      <xdr:spPr>
        <a:xfrm>
          <a:off x="16024368" y="21103589"/>
          <a:ext cx="4938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205248</xdr:colOff>
      <xdr:row>137</xdr:row>
      <xdr:rowOff>76199</xdr:rowOff>
    </xdr:from>
    <xdr:to>
      <xdr:col>32</xdr:col>
      <xdr:colOff>697844</xdr:colOff>
      <xdr:row>137</xdr:row>
      <xdr:rowOff>76199</xdr:rowOff>
    </xdr:to>
    <xdr:cxnSp macro="">
      <xdr:nvCxnSpPr>
        <xdr:cNvPr id="143423" name="직선 화살표 연결선 143422">
          <a:extLst>
            <a:ext uri="{FF2B5EF4-FFF2-40B4-BE49-F238E27FC236}">
              <a16:creationId xmlns:a16="http://schemas.microsoft.com/office/drawing/2014/main" id="{00000000-0008-0000-0100-00003F300200}"/>
            </a:ext>
          </a:extLst>
        </xdr:cNvPr>
        <xdr:cNvCxnSpPr/>
      </xdr:nvCxnSpPr>
      <xdr:spPr>
        <a:xfrm>
          <a:off x="16024368" y="21160739"/>
          <a:ext cx="49259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205248</xdr:colOff>
      <xdr:row>136</xdr:row>
      <xdr:rowOff>19049</xdr:rowOff>
    </xdr:from>
    <xdr:to>
      <xdr:col>32</xdr:col>
      <xdr:colOff>452815</xdr:colOff>
      <xdr:row>136</xdr:row>
      <xdr:rowOff>133349</xdr:rowOff>
    </xdr:to>
    <xdr:sp macro="" textlink="">
      <xdr:nvSpPr>
        <xdr:cNvPr id="143424" name="133">
          <a:extLst>
            <a:ext uri="{FF2B5EF4-FFF2-40B4-BE49-F238E27FC236}">
              <a16:creationId xmlns:a16="http://schemas.microsoft.com/office/drawing/2014/main" id="{00000000-0008-0000-0100-000040300200}"/>
            </a:ext>
          </a:extLst>
        </xdr:cNvPr>
        <xdr:cNvSpPr/>
      </xdr:nvSpPr>
      <xdr:spPr>
        <a:xfrm>
          <a:off x="16024368" y="20951189"/>
          <a:ext cx="24756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205248</xdr:colOff>
      <xdr:row>136</xdr:row>
      <xdr:rowOff>76199</xdr:rowOff>
    </xdr:from>
    <xdr:to>
      <xdr:col>32</xdr:col>
      <xdr:colOff>451546</xdr:colOff>
      <xdr:row>136</xdr:row>
      <xdr:rowOff>76199</xdr:rowOff>
    </xdr:to>
    <xdr:cxnSp macro="">
      <xdr:nvCxnSpPr>
        <xdr:cNvPr id="143425" name="직선 화살표 연결선 143424">
          <a:extLst>
            <a:ext uri="{FF2B5EF4-FFF2-40B4-BE49-F238E27FC236}">
              <a16:creationId xmlns:a16="http://schemas.microsoft.com/office/drawing/2014/main" id="{00000000-0008-0000-0100-000041300200}"/>
            </a:ext>
          </a:extLst>
        </xdr:cNvPr>
        <xdr:cNvCxnSpPr/>
      </xdr:nvCxnSpPr>
      <xdr:spPr>
        <a:xfrm>
          <a:off x="16024368" y="21008339"/>
          <a:ext cx="24629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205248</xdr:colOff>
      <xdr:row>135</xdr:row>
      <xdr:rowOff>19049</xdr:rowOff>
    </xdr:from>
    <xdr:to>
      <xdr:col>32</xdr:col>
      <xdr:colOff>699114</xdr:colOff>
      <xdr:row>135</xdr:row>
      <xdr:rowOff>133349</xdr:rowOff>
    </xdr:to>
    <xdr:sp macro="" textlink="">
      <xdr:nvSpPr>
        <xdr:cNvPr id="143426" name="132">
          <a:extLst>
            <a:ext uri="{FF2B5EF4-FFF2-40B4-BE49-F238E27FC236}">
              <a16:creationId xmlns:a16="http://schemas.microsoft.com/office/drawing/2014/main" id="{00000000-0008-0000-0100-000042300200}"/>
            </a:ext>
          </a:extLst>
        </xdr:cNvPr>
        <xdr:cNvSpPr/>
      </xdr:nvSpPr>
      <xdr:spPr>
        <a:xfrm>
          <a:off x="16024368" y="20798789"/>
          <a:ext cx="4938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205248</xdr:colOff>
      <xdr:row>135</xdr:row>
      <xdr:rowOff>76199</xdr:rowOff>
    </xdr:from>
    <xdr:to>
      <xdr:col>32</xdr:col>
      <xdr:colOff>697844</xdr:colOff>
      <xdr:row>135</xdr:row>
      <xdr:rowOff>76199</xdr:rowOff>
    </xdr:to>
    <xdr:cxnSp macro="">
      <xdr:nvCxnSpPr>
        <xdr:cNvPr id="143427" name="직선 화살표 연결선 143426">
          <a:extLst>
            <a:ext uri="{FF2B5EF4-FFF2-40B4-BE49-F238E27FC236}">
              <a16:creationId xmlns:a16="http://schemas.microsoft.com/office/drawing/2014/main" id="{00000000-0008-0000-0100-000043300200}"/>
            </a:ext>
          </a:extLst>
        </xdr:cNvPr>
        <xdr:cNvCxnSpPr/>
      </xdr:nvCxnSpPr>
      <xdr:spPr>
        <a:xfrm>
          <a:off x="16024368" y="20855939"/>
          <a:ext cx="49259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205248</xdr:colOff>
      <xdr:row>134</xdr:row>
      <xdr:rowOff>19049</xdr:rowOff>
    </xdr:from>
    <xdr:to>
      <xdr:col>32</xdr:col>
      <xdr:colOff>699114</xdr:colOff>
      <xdr:row>134</xdr:row>
      <xdr:rowOff>133349</xdr:rowOff>
    </xdr:to>
    <xdr:sp macro="" textlink="">
      <xdr:nvSpPr>
        <xdr:cNvPr id="143428" name="131">
          <a:extLst>
            <a:ext uri="{FF2B5EF4-FFF2-40B4-BE49-F238E27FC236}">
              <a16:creationId xmlns:a16="http://schemas.microsoft.com/office/drawing/2014/main" id="{00000000-0008-0000-0100-000044300200}"/>
            </a:ext>
          </a:extLst>
        </xdr:cNvPr>
        <xdr:cNvSpPr/>
      </xdr:nvSpPr>
      <xdr:spPr>
        <a:xfrm>
          <a:off x="16024368" y="20646389"/>
          <a:ext cx="4938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205248</xdr:colOff>
      <xdr:row>134</xdr:row>
      <xdr:rowOff>76199</xdr:rowOff>
    </xdr:from>
    <xdr:to>
      <xdr:col>32</xdr:col>
      <xdr:colOff>697844</xdr:colOff>
      <xdr:row>134</xdr:row>
      <xdr:rowOff>76199</xdr:rowOff>
    </xdr:to>
    <xdr:cxnSp macro="">
      <xdr:nvCxnSpPr>
        <xdr:cNvPr id="143429" name="직선 화살표 연결선 143428">
          <a:extLst>
            <a:ext uri="{FF2B5EF4-FFF2-40B4-BE49-F238E27FC236}">
              <a16:creationId xmlns:a16="http://schemas.microsoft.com/office/drawing/2014/main" id="{00000000-0008-0000-0100-000045300200}"/>
            </a:ext>
          </a:extLst>
        </xdr:cNvPr>
        <xdr:cNvCxnSpPr/>
      </xdr:nvCxnSpPr>
      <xdr:spPr>
        <a:xfrm>
          <a:off x="16024368" y="20703539"/>
          <a:ext cx="49259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205248</xdr:colOff>
      <xdr:row>133</xdr:row>
      <xdr:rowOff>19049</xdr:rowOff>
    </xdr:from>
    <xdr:to>
      <xdr:col>34</xdr:col>
      <xdr:colOff>1232760</xdr:colOff>
      <xdr:row>133</xdr:row>
      <xdr:rowOff>133349</xdr:rowOff>
    </xdr:to>
    <xdr:sp macro="" textlink="">
      <xdr:nvSpPr>
        <xdr:cNvPr id="143430" name="130">
          <a:extLst>
            <a:ext uri="{FF2B5EF4-FFF2-40B4-BE49-F238E27FC236}">
              <a16:creationId xmlns:a16="http://schemas.microsoft.com/office/drawing/2014/main" id="{00000000-0008-0000-0100-000046300200}"/>
            </a:ext>
          </a:extLst>
        </xdr:cNvPr>
        <xdr:cNvSpPr/>
      </xdr:nvSpPr>
      <xdr:spPr>
        <a:xfrm>
          <a:off x="16024368" y="20493989"/>
          <a:ext cx="357259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205248</xdr:colOff>
      <xdr:row>133</xdr:row>
      <xdr:rowOff>76199</xdr:rowOff>
    </xdr:from>
    <xdr:to>
      <xdr:col>33</xdr:col>
      <xdr:colOff>332083</xdr:colOff>
      <xdr:row>133</xdr:row>
      <xdr:rowOff>76199</xdr:rowOff>
    </xdr:to>
    <xdr:cxnSp macro="">
      <xdr:nvCxnSpPr>
        <xdr:cNvPr id="143431" name="직선 화살표 연결선 143430">
          <a:extLst>
            <a:ext uri="{FF2B5EF4-FFF2-40B4-BE49-F238E27FC236}">
              <a16:creationId xmlns:a16="http://schemas.microsoft.com/office/drawing/2014/main" id="{00000000-0008-0000-0100-000047300200}"/>
            </a:ext>
          </a:extLst>
        </xdr:cNvPr>
        <xdr:cNvCxnSpPr/>
      </xdr:nvCxnSpPr>
      <xdr:spPr>
        <a:xfrm>
          <a:off x="16024368" y="20551139"/>
          <a:ext cx="13993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205248</xdr:colOff>
      <xdr:row>132</xdr:row>
      <xdr:rowOff>19049</xdr:rowOff>
    </xdr:from>
    <xdr:to>
      <xdr:col>32</xdr:col>
      <xdr:colOff>452815</xdr:colOff>
      <xdr:row>132</xdr:row>
      <xdr:rowOff>133349</xdr:rowOff>
    </xdr:to>
    <xdr:sp macro="" textlink="">
      <xdr:nvSpPr>
        <xdr:cNvPr id="143432" name="129">
          <a:extLst>
            <a:ext uri="{FF2B5EF4-FFF2-40B4-BE49-F238E27FC236}">
              <a16:creationId xmlns:a16="http://schemas.microsoft.com/office/drawing/2014/main" id="{00000000-0008-0000-0100-000048300200}"/>
            </a:ext>
          </a:extLst>
        </xdr:cNvPr>
        <xdr:cNvSpPr/>
      </xdr:nvSpPr>
      <xdr:spPr>
        <a:xfrm>
          <a:off x="16024368" y="20341589"/>
          <a:ext cx="24756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205248</xdr:colOff>
      <xdr:row>132</xdr:row>
      <xdr:rowOff>76199</xdr:rowOff>
    </xdr:from>
    <xdr:to>
      <xdr:col>32</xdr:col>
      <xdr:colOff>451546</xdr:colOff>
      <xdr:row>132</xdr:row>
      <xdr:rowOff>76199</xdr:rowOff>
    </xdr:to>
    <xdr:cxnSp macro="">
      <xdr:nvCxnSpPr>
        <xdr:cNvPr id="143433" name="직선 화살표 연결선 143432">
          <a:extLst>
            <a:ext uri="{FF2B5EF4-FFF2-40B4-BE49-F238E27FC236}">
              <a16:creationId xmlns:a16="http://schemas.microsoft.com/office/drawing/2014/main" id="{00000000-0008-0000-0100-000049300200}"/>
            </a:ext>
          </a:extLst>
        </xdr:cNvPr>
        <xdr:cNvCxnSpPr/>
      </xdr:nvCxnSpPr>
      <xdr:spPr>
        <a:xfrm>
          <a:off x="16024368" y="20398739"/>
          <a:ext cx="24629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205248</xdr:colOff>
      <xdr:row>131</xdr:row>
      <xdr:rowOff>19049</xdr:rowOff>
    </xdr:from>
    <xdr:to>
      <xdr:col>32</xdr:col>
      <xdr:colOff>452815</xdr:colOff>
      <xdr:row>131</xdr:row>
      <xdr:rowOff>133349</xdr:rowOff>
    </xdr:to>
    <xdr:sp macro="" textlink="">
      <xdr:nvSpPr>
        <xdr:cNvPr id="143434" name="128">
          <a:extLst>
            <a:ext uri="{FF2B5EF4-FFF2-40B4-BE49-F238E27FC236}">
              <a16:creationId xmlns:a16="http://schemas.microsoft.com/office/drawing/2014/main" id="{00000000-0008-0000-0100-00004A300200}"/>
            </a:ext>
          </a:extLst>
        </xdr:cNvPr>
        <xdr:cNvSpPr/>
      </xdr:nvSpPr>
      <xdr:spPr>
        <a:xfrm>
          <a:off x="16024368" y="20189189"/>
          <a:ext cx="24756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205248</xdr:colOff>
      <xdr:row>131</xdr:row>
      <xdr:rowOff>76199</xdr:rowOff>
    </xdr:from>
    <xdr:to>
      <xdr:col>32</xdr:col>
      <xdr:colOff>451546</xdr:colOff>
      <xdr:row>131</xdr:row>
      <xdr:rowOff>76199</xdr:rowOff>
    </xdr:to>
    <xdr:cxnSp macro="">
      <xdr:nvCxnSpPr>
        <xdr:cNvPr id="143435" name="직선 화살표 연결선 143434">
          <a:extLst>
            <a:ext uri="{FF2B5EF4-FFF2-40B4-BE49-F238E27FC236}">
              <a16:creationId xmlns:a16="http://schemas.microsoft.com/office/drawing/2014/main" id="{00000000-0008-0000-0100-00004B300200}"/>
            </a:ext>
          </a:extLst>
        </xdr:cNvPr>
        <xdr:cNvCxnSpPr/>
      </xdr:nvCxnSpPr>
      <xdr:spPr>
        <a:xfrm>
          <a:off x="16024368" y="20246339"/>
          <a:ext cx="24629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205248</xdr:colOff>
      <xdr:row>130</xdr:row>
      <xdr:rowOff>19049</xdr:rowOff>
    </xdr:from>
    <xdr:to>
      <xdr:col>32</xdr:col>
      <xdr:colOff>452815</xdr:colOff>
      <xdr:row>130</xdr:row>
      <xdr:rowOff>133349</xdr:rowOff>
    </xdr:to>
    <xdr:sp macro="" textlink="">
      <xdr:nvSpPr>
        <xdr:cNvPr id="143436" name="127">
          <a:extLst>
            <a:ext uri="{FF2B5EF4-FFF2-40B4-BE49-F238E27FC236}">
              <a16:creationId xmlns:a16="http://schemas.microsoft.com/office/drawing/2014/main" id="{00000000-0008-0000-0100-00004C300200}"/>
            </a:ext>
          </a:extLst>
        </xdr:cNvPr>
        <xdr:cNvSpPr/>
      </xdr:nvSpPr>
      <xdr:spPr>
        <a:xfrm>
          <a:off x="16024368" y="20036789"/>
          <a:ext cx="24756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205248</xdr:colOff>
      <xdr:row>130</xdr:row>
      <xdr:rowOff>76199</xdr:rowOff>
    </xdr:from>
    <xdr:to>
      <xdr:col>32</xdr:col>
      <xdr:colOff>451546</xdr:colOff>
      <xdr:row>130</xdr:row>
      <xdr:rowOff>76199</xdr:rowOff>
    </xdr:to>
    <xdr:cxnSp macro="">
      <xdr:nvCxnSpPr>
        <xdr:cNvPr id="143437" name="직선 화살표 연결선 143436">
          <a:extLst>
            <a:ext uri="{FF2B5EF4-FFF2-40B4-BE49-F238E27FC236}">
              <a16:creationId xmlns:a16="http://schemas.microsoft.com/office/drawing/2014/main" id="{00000000-0008-0000-0100-00004D300200}"/>
            </a:ext>
          </a:extLst>
        </xdr:cNvPr>
        <xdr:cNvCxnSpPr/>
      </xdr:nvCxnSpPr>
      <xdr:spPr>
        <a:xfrm>
          <a:off x="16024368" y="20093939"/>
          <a:ext cx="24629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1230122</xdr:colOff>
      <xdr:row>129</xdr:row>
      <xdr:rowOff>19049</xdr:rowOff>
    </xdr:from>
    <xdr:to>
      <xdr:col>32</xdr:col>
      <xdr:colOff>206517</xdr:colOff>
      <xdr:row>129</xdr:row>
      <xdr:rowOff>133349</xdr:rowOff>
    </xdr:to>
    <xdr:sp macro="" textlink="">
      <xdr:nvSpPr>
        <xdr:cNvPr id="143438" name="126">
          <a:extLst>
            <a:ext uri="{FF2B5EF4-FFF2-40B4-BE49-F238E27FC236}">
              <a16:creationId xmlns:a16="http://schemas.microsoft.com/office/drawing/2014/main" id="{00000000-0008-0000-0100-00004E300200}"/>
            </a:ext>
          </a:extLst>
        </xdr:cNvPr>
        <xdr:cNvSpPr/>
      </xdr:nvSpPr>
      <xdr:spPr>
        <a:xfrm>
          <a:off x="15776702" y="19884389"/>
          <a:ext cx="2489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1230122</xdr:colOff>
      <xdr:row>129</xdr:row>
      <xdr:rowOff>76199</xdr:rowOff>
    </xdr:from>
    <xdr:to>
      <xdr:col>33</xdr:col>
      <xdr:colOff>169672</xdr:colOff>
      <xdr:row>129</xdr:row>
      <xdr:rowOff>76199</xdr:rowOff>
    </xdr:to>
    <xdr:cxnSp macro="">
      <xdr:nvCxnSpPr>
        <xdr:cNvPr id="143439" name="직선 화살표 연결선 143438">
          <a:extLst>
            <a:ext uri="{FF2B5EF4-FFF2-40B4-BE49-F238E27FC236}">
              <a16:creationId xmlns:a16="http://schemas.microsoft.com/office/drawing/2014/main" id="{00000000-0008-0000-0100-00004F300200}"/>
            </a:ext>
          </a:extLst>
        </xdr:cNvPr>
        <xdr:cNvCxnSpPr/>
      </xdr:nvCxnSpPr>
      <xdr:spPr>
        <a:xfrm>
          <a:off x="15776702" y="19941539"/>
          <a:ext cx="14846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1102868</xdr:colOff>
      <xdr:row>128</xdr:row>
      <xdr:rowOff>19049</xdr:rowOff>
    </xdr:from>
    <xdr:to>
      <xdr:col>31</xdr:col>
      <xdr:colOff>1231392</xdr:colOff>
      <xdr:row>128</xdr:row>
      <xdr:rowOff>133349</xdr:rowOff>
    </xdr:to>
    <xdr:sp macro="" textlink="">
      <xdr:nvSpPr>
        <xdr:cNvPr id="143440" name="125">
          <a:extLst>
            <a:ext uri="{FF2B5EF4-FFF2-40B4-BE49-F238E27FC236}">
              <a16:creationId xmlns:a16="http://schemas.microsoft.com/office/drawing/2014/main" id="{00000000-0008-0000-0100-000050300200}"/>
            </a:ext>
          </a:extLst>
        </xdr:cNvPr>
        <xdr:cNvSpPr/>
      </xdr:nvSpPr>
      <xdr:spPr>
        <a:xfrm>
          <a:off x="15649448" y="19731989"/>
          <a:ext cx="1285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1102868</xdr:colOff>
      <xdr:row>128</xdr:row>
      <xdr:rowOff>76199</xdr:rowOff>
    </xdr:from>
    <xdr:to>
      <xdr:col>31</xdr:col>
      <xdr:colOff>1230122</xdr:colOff>
      <xdr:row>128</xdr:row>
      <xdr:rowOff>76199</xdr:rowOff>
    </xdr:to>
    <xdr:cxnSp macro="">
      <xdr:nvCxnSpPr>
        <xdr:cNvPr id="143441" name="직선 화살표 연결선 143440">
          <a:extLst>
            <a:ext uri="{FF2B5EF4-FFF2-40B4-BE49-F238E27FC236}">
              <a16:creationId xmlns:a16="http://schemas.microsoft.com/office/drawing/2014/main" id="{00000000-0008-0000-0100-000051300200}"/>
            </a:ext>
          </a:extLst>
        </xdr:cNvPr>
        <xdr:cNvCxnSpPr/>
      </xdr:nvCxnSpPr>
      <xdr:spPr>
        <a:xfrm>
          <a:off x="15649448" y="19789139"/>
          <a:ext cx="1272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1102868</xdr:colOff>
      <xdr:row>127</xdr:row>
      <xdr:rowOff>19049</xdr:rowOff>
    </xdr:from>
    <xdr:to>
      <xdr:col>32</xdr:col>
      <xdr:colOff>452815</xdr:colOff>
      <xdr:row>127</xdr:row>
      <xdr:rowOff>133349</xdr:rowOff>
    </xdr:to>
    <xdr:sp macro="" textlink="">
      <xdr:nvSpPr>
        <xdr:cNvPr id="143442" name="124">
          <a:extLst>
            <a:ext uri="{FF2B5EF4-FFF2-40B4-BE49-F238E27FC236}">
              <a16:creationId xmlns:a16="http://schemas.microsoft.com/office/drawing/2014/main" id="{00000000-0008-0000-0100-000052300200}"/>
            </a:ext>
          </a:extLst>
        </xdr:cNvPr>
        <xdr:cNvSpPr/>
      </xdr:nvSpPr>
      <xdr:spPr>
        <a:xfrm>
          <a:off x="15649448" y="19579589"/>
          <a:ext cx="62248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1102868</xdr:colOff>
      <xdr:row>127</xdr:row>
      <xdr:rowOff>76199</xdr:rowOff>
    </xdr:from>
    <xdr:to>
      <xdr:col>33</xdr:col>
      <xdr:colOff>169672</xdr:colOff>
      <xdr:row>127</xdr:row>
      <xdr:rowOff>76199</xdr:rowOff>
    </xdr:to>
    <xdr:cxnSp macro="">
      <xdr:nvCxnSpPr>
        <xdr:cNvPr id="143443" name="직선 화살표 연결선 143442">
          <a:extLst>
            <a:ext uri="{FF2B5EF4-FFF2-40B4-BE49-F238E27FC236}">
              <a16:creationId xmlns:a16="http://schemas.microsoft.com/office/drawing/2014/main" id="{00000000-0008-0000-0100-000053300200}"/>
            </a:ext>
          </a:extLst>
        </xdr:cNvPr>
        <xdr:cNvCxnSpPr/>
      </xdr:nvCxnSpPr>
      <xdr:spPr>
        <a:xfrm>
          <a:off x="15649448" y="19636739"/>
          <a:ext cx="161188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656795</xdr:colOff>
      <xdr:row>126</xdr:row>
      <xdr:rowOff>19049</xdr:rowOff>
    </xdr:from>
    <xdr:to>
      <xdr:col>32</xdr:col>
      <xdr:colOff>740164</xdr:colOff>
      <xdr:row>126</xdr:row>
      <xdr:rowOff>133349</xdr:rowOff>
    </xdr:to>
    <xdr:sp macro="" textlink="">
      <xdr:nvSpPr>
        <xdr:cNvPr id="143444" name="123">
          <a:extLst>
            <a:ext uri="{FF2B5EF4-FFF2-40B4-BE49-F238E27FC236}">
              <a16:creationId xmlns:a16="http://schemas.microsoft.com/office/drawing/2014/main" id="{00000000-0008-0000-0100-000054300200}"/>
            </a:ext>
          </a:extLst>
        </xdr:cNvPr>
        <xdr:cNvSpPr/>
      </xdr:nvSpPr>
      <xdr:spPr>
        <a:xfrm>
          <a:off x="16475915" y="19427189"/>
          <a:ext cx="8336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656795</xdr:colOff>
      <xdr:row>126</xdr:row>
      <xdr:rowOff>76199</xdr:rowOff>
    </xdr:from>
    <xdr:to>
      <xdr:col>32</xdr:col>
      <xdr:colOff>738894</xdr:colOff>
      <xdr:row>126</xdr:row>
      <xdr:rowOff>76199</xdr:rowOff>
    </xdr:to>
    <xdr:cxnSp macro="">
      <xdr:nvCxnSpPr>
        <xdr:cNvPr id="143445" name="직선 화살표 연결선 143444">
          <a:extLst>
            <a:ext uri="{FF2B5EF4-FFF2-40B4-BE49-F238E27FC236}">
              <a16:creationId xmlns:a16="http://schemas.microsoft.com/office/drawing/2014/main" id="{00000000-0008-0000-0100-000055300200}"/>
            </a:ext>
          </a:extLst>
        </xdr:cNvPr>
        <xdr:cNvCxnSpPr/>
      </xdr:nvCxnSpPr>
      <xdr:spPr>
        <a:xfrm>
          <a:off x="16475915" y="19484339"/>
          <a:ext cx="8209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1187705</xdr:colOff>
      <xdr:row>125</xdr:row>
      <xdr:rowOff>19049</xdr:rowOff>
    </xdr:from>
    <xdr:to>
      <xdr:col>32</xdr:col>
      <xdr:colOff>575965</xdr:colOff>
      <xdr:row>125</xdr:row>
      <xdr:rowOff>133349</xdr:rowOff>
    </xdr:to>
    <xdr:sp macro="" textlink="">
      <xdr:nvSpPr>
        <xdr:cNvPr id="143446" name="122">
          <a:extLst>
            <a:ext uri="{FF2B5EF4-FFF2-40B4-BE49-F238E27FC236}">
              <a16:creationId xmlns:a16="http://schemas.microsoft.com/office/drawing/2014/main" id="{00000000-0008-0000-0100-000056300200}"/>
            </a:ext>
          </a:extLst>
        </xdr:cNvPr>
        <xdr:cNvSpPr/>
      </xdr:nvSpPr>
      <xdr:spPr>
        <a:xfrm>
          <a:off x="15734285" y="19274789"/>
          <a:ext cx="6608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1187705</xdr:colOff>
      <xdr:row>125</xdr:row>
      <xdr:rowOff>76199</xdr:rowOff>
    </xdr:from>
    <xdr:to>
      <xdr:col>32</xdr:col>
      <xdr:colOff>574695</xdr:colOff>
      <xdr:row>125</xdr:row>
      <xdr:rowOff>76199</xdr:rowOff>
    </xdr:to>
    <xdr:cxnSp macro="">
      <xdr:nvCxnSpPr>
        <xdr:cNvPr id="143447" name="직선 화살표 연결선 143446">
          <a:extLst>
            <a:ext uri="{FF2B5EF4-FFF2-40B4-BE49-F238E27FC236}">
              <a16:creationId xmlns:a16="http://schemas.microsoft.com/office/drawing/2014/main" id="{00000000-0008-0000-0100-000057300200}"/>
            </a:ext>
          </a:extLst>
        </xdr:cNvPr>
        <xdr:cNvCxnSpPr/>
      </xdr:nvCxnSpPr>
      <xdr:spPr>
        <a:xfrm>
          <a:off x="15734285" y="19331939"/>
          <a:ext cx="6595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1102868</xdr:colOff>
      <xdr:row>124</xdr:row>
      <xdr:rowOff>19049</xdr:rowOff>
    </xdr:from>
    <xdr:to>
      <xdr:col>31</xdr:col>
      <xdr:colOff>1188974</xdr:colOff>
      <xdr:row>124</xdr:row>
      <xdr:rowOff>133349</xdr:rowOff>
    </xdr:to>
    <xdr:sp macro="" textlink="">
      <xdr:nvSpPr>
        <xdr:cNvPr id="143448" name="121">
          <a:extLst>
            <a:ext uri="{FF2B5EF4-FFF2-40B4-BE49-F238E27FC236}">
              <a16:creationId xmlns:a16="http://schemas.microsoft.com/office/drawing/2014/main" id="{00000000-0008-0000-0100-000058300200}"/>
            </a:ext>
          </a:extLst>
        </xdr:cNvPr>
        <xdr:cNvSpPr/>
      </xdr:nvSpPr>
      <xdr:spPr>
        <a:xfrm>
          <a:off x="15649448" y="19122389"/>
          <a:ext cx="8610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1102868</xdr:colOff>
      <xdr:row>124</xdr:row>
      <xdr:rowOff>76199</xdr:rowOff>
    </xdr:from>
    <xdr:to>
      <xdr:col>31</xdr:col>
      <xdr:colOff>1187705</xdr:colOff>
      <xdr:row>124</xdr:row>
      <xdr:rowOff>76199</xdr:rowOff>
    </xdr:to>
    <xdr:cxnSp macro="">
      <xdr:nvCxnSpPr>
        <xdr:cNvPr id="143449" name="직선 화살표 연결선 143448">
          <a:extLst>
            <a:ext uri="{FF2B5EF4-FFF2-40B4-BE49-F238E27FC236}">
              <a16:creationId xmlns:a16="http://schemas.microsoft.com/office/drawing/2014/main" id="{00000000-0008-0000-0100-000059300200}"/>
            </a:ext>
          </a:extLst>
        </xdr:cNvPr>
        <xdr:cNvCxnSpPr/>
      </xdr:nvCxnSpPr>
      <xdr:spPr>
        <a:xfrm>
          <a:off x="15649448" y="19179539"/>
          <a:ext cx="8483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1060450</xdr:colOff>
      <xdr:row>123</xdr:row>
      <xdr:rowOff>19049</xdr:rowOff>
    </xdr:from>
    <xdr:to>
      <xdr:col>31</xdr:col>
      <xdr:colOff>1104138</xdr:colOff>
      <xdr:row>123</xdr:row>
      <xdr:rowOff>133349</xdr:rowOff>
    </xdr:to>
    <xdr:sp macro="" textlink="">
      <xdr:nvSpPr>
        <xdr:cNvPr id="143450" name="120">
          <a:extLst>
            <a:ext uri="{FF2B5EF4-FFF2-40B4-BE49-F238E27FC236}">
              <a16:creationId xmlns:a16="http://schemas.microsoft.com/office/drawing/2014/main" id="{00000000-0008-0000-0100-00005A300200}"/>
            </a:ext>
          </a:extLst>
        </xdr:cNvPr>
        <xdr:cNvSpPr/>
      </xdr:nvSpPr>
      <xdr:spPr>
        <a:xfrm>
          <a:off x="15607030" y="18969989"/>
          <a:ext cx="4368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1060450</xdr:colOff>
      <xdr:row>123</xdr:row>
      <xdr:rowOff>76199</xdr:rowOff>
    </xdr:from>
    <xdr:to>
      <xdr:col>31</xdr:col>
      <xdr:colOff>1102868</xdr:colOff>
      <xdr:row>123</xdr:row>
      <xdr:rowOff>76199</xdr:rowOff>
    </xdr:to>
    <xdr:cxnSp macro="">
      <xdr:nvCxnSpPr>
        <xdr:cNvPr id="143451" name="직선 화살표 연결선 143450">
          <a:extLst>
            <a:ext uri="{FF2B5EF4-FFF2-40B4-BE49-F238E27FC236}">
              <a16:creationId xmlns:a16="http://schemas.microsoft.com/office/drawing/2014/main" id="{00000000-0008-0000-0100-00005B300200}"/>
            </a:ext>
          </a:extLst>
        </xdr:cNvPr>
        <xdr:cNvCxnSpPr/>
      </xdr:nvCxnSpPr>
      <xdr:spPr>
        <a:xfrm>
          <a:off x="15607030" y="19027139"/>
          <a:ext cx="4241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1060450</xdr:colOff>
      <xdr:row>122</xdr:row>
      <xdr:rowOff>19049</xdr:rowOff>
    </xdr:from>
    <xdr:to>
      <xdr:col>32</xdr:col>
      <xdr:colOff>740164</xdr:colOff>
      <xdr:row>122</xdr:row>
      <xdr:rowOff>133349</xdr:rowOff>
    </xdr:to>
    <xdr:sp macro="" textlink="">
      <xdr:nvSpPr>
        <xdr:cNvPr id="143452" name="119">
          <a:extLst>
            <a:ext uri="{FF2B5EF4-FFF2-40B4-BE49-F238E27FC236}">
              <a16:creationId xmlns:a16="http://schemas.microsoft.com/office/drawing/2014/main" id="{00000000-0008-0000-0100-00005C300200}"/>
            </a:ext>
          </a:extLst>
        </xdr:cNvPr>
        <xdr:cNvSpPr/>
      </xdr:nvSpPr>
      <xdr:spPr>
        <a:xfrm>
          <a:off x="15607030" y="18817589"/>
          <a:ext cx="95225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1060450</xdr:colOff>
      <xdr:row>122</xdr:row>
      <xdr:rowOff>76199</xdr:rowOff>
    </xdr:from>
    <xdr:to>
      <xdr:col>32</xdr:col>
      <xdr:colOff>738894</xdr:colOff>
      <xdr:row>122</xdr:row>
      <xdr:rowOff>76199</xdr:rowOff>
    </xdr:to>
    <xdr:cxnSp macro="">
      <xdr:nvCxnSpPr>
        <xdr:cNvPr id="143453" name="직선 화살표 연결선 143452">
          <a:extLst>
            <a:ext uri="{FF2B5EF4-FFF2-40B4-BE49-F238E27FC236}">
              <a16:creationId xmlns:a16="http://schemas.microsoft.com/office/drawing/2014/main" id="{00000000-0008-0000-0100-00005D300200}"/>
            </a:ext>
          </a:extLst>
        </xdr:cNvPr>
        <xdr:cNvCxnSpPr/>
      </xdr:nvCxnSpPr>
      <xdr:spPr>
        <a:xfrm>
          <a:off x="15607030" y="18874739"/>
          <a:ext cx="95098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381762</xdr:colOff>
      <xdr:row>121</xdr:row>
      <xdr:rowOff>19049</xdr:rowOff>
    </xdr:from>
    <xdr:to>
      <xdr:col>34</xdr:col>
      <xdr:colOff>1270</xdr:colOff>
      <xdr:row>121</xdr:row>
      <xdr:rowOff>133349</xdr:rowOff>
    </xdr:to>
    <xdr:sp macro="" textlink="">
      <xdr:nvSpPr>
        <xdr:cNvPr id="143454" name="118">
          <a:extLst>
            <a:ext uri="{FF2B5EF4-FFF2-40B4-BE49-F238E27FC236}">
              <a16:creationId xmlns:a16="http://schemas.microsoft.com/office/drawing/2014/main" id="{00000000-0008-0000-0100-00005E300200}"/>
            </a:ext>
          </a:extLst>
        </xdr:cNvPr>
        <xdr:cNvSpPr/>
      </xdr:nvSpPr>
      <xdr:spPr>
        <a:xfrm>
          <a:off x="17473422" y="18665189"/>
          <a:ext cx="89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381762</xdr:colOff>
      <xdr:row>121</xdr:row>
      <xdr:rowOff>76199</xdr:rowOff>
    </xdr:from>
    <xdr:to>
      <xdr:col>34</xdr:col>
      <xdr:colOff>0</xdr:colOff>
      <xdr:row>121</xdr:row>
      <xdr:rowOff>76199</xdr:rowOff>
    </xdr:to>
    <xdr:cxnSp macro="">
      <xdr:nvCxnSpPr>
        <xdr:cNvPr id="143455" name="직선 화살표 연결선 143454">
          <a:extLst>
            <a:ext uri="{FF2B5EF4-FFF2-40B4-BE49-F238E27FC236}">
              <a16:creationId xmlns:a16="http://schemas.microsoft.com/office/drawing/2014/main" id="{00000000-0008-0000-0100-00005F300200}"/>
            </a:ext>
          </a:extLst>
        </xdr:cNvPr>
        <xdr:cNvCxnSpPr/>
      </xdr:nvCxnSpPr>
      <xdr:spPr>
        <a:xfrm>
          <a:off x="17473422" y="18722339"/>
          <a:ext cx="8907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254508</xdr:colOff>
      <xdr:row>120</xdr:row>
      <xdr:rowOff>19049</xdr:rowOff>
    </xdr:from>
    <xdr:to>
      <xdr:col>33</xdr:col>
      <xdr:colOff>340614</xdr:colOff>
      <xdr:row>120</xdr:row>
      <xdr:rowOff>133349</xdr:rowOff>
    </xdr:to>
    <xdr:sp macro="" textlink="">
      <xdr:nvSpPr>
        <xdr:cNvPr id="143456" name="117">
          <a:extLst>
            <a:ext uri="{FF2B5EF4-FFF2-40B4-BE49-F238E27FC236}">
              <a16:creationId xmlns:a16="http://schemas.microsoft.com/office/drawing/2014/main" id="{00000000-0008-0000-0100-000060300200}"/>
            </a:ext>
          </a:extLst>
        </xdr:cNvPr>
        <xdr:cNvSpPr/>
      </xdr:nvSpPr>
      <xdr:spPr>
        <a:xfrm>
          <a:off x="17346168" y="18512789"/>
          <a:ext cx="8610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254508</xdr:colOff>
      <xdr:row>120</xdr:row>
      <xdr:rowOff>76199</xdr:rowOff>
    </xdr:from>
    <xdr:to>
      <xdr:col>33</xdr:col>
      <xdr:colOff>339344</xdr:colOff>
      <xdr:row>120</xdr:row>
      <xdr:rowOff>76199</xdr:rowOff>
    </xdr:to>
    <xdr:cxnSp macro="">
      <xdr:nvCxnSpPr>
        <xdr:cNvPr id="143457" name="직선 화살표 연결선 143456">
          <a:extLst>
            <a:ext uri="{FF2B5EF4-FFF2-40B4-BE49-F238E27FC236}">
              <a16:creationId xmlns:a16="http://schemas.microsoft.com/office/drawing/2014/main" id="{00000000-0008-0000-0100-000061300200}"/>
            </a:ext>
          </a:extLst>
        </xdr:cNvPr>
        <xdr:cNvCxnSpPr/>
      </xdr:nvCxnSpPr>
      <xdr:spPr>
        <a:xfrm>
          <a:off x="17346168" y="18569939"/>
          <a:ext cx="848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84836</xdr:colOff>
      <xdr:row>119</xdr:row>
      <xdr:rowOff>19049</xdr:rowOff>
    </xdr:from>
    <xdr:to>
      <xdr:col>33</xdr:col>
      <xdr:colOff>170942</xdr:colOff>
      <xdr:row>119</xdr:row>
      <xdr:rowOff>133349</xdr:rowOff>
    </xdr:to>
    <xdr:sp macro="" textlink="">
      <xdr:nvSpPr>
        <xdr:cNvPr id="143458" name="116">
          <a:extLst>
            <a:ext uri="{FF2B5EF4-FFF2-40B4-BE49-F238E27FC236}">
              <a16:creationId xmlns:a16="http://schemas.microsoft.com/office/drawing/2014/main" id="{00000000-0008-0000-0100-000062300200}"/>
            </a:ext>
          </a:extLst>
        </xdr:cNvPr>
        <xdr:cNvSpPr/>
      </xdr:nvSpPr>
      <xdr:spPr>
        <a:xfrm>
          <a:off x="17176496" y="18360389"/>
          <a:ext cx="8610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84836</xdr:colOff>
      <xdr:row>119</xdr:row>
      <xdr:rowOff>76199</xdr:rowOff>
    </xdr:from>
    <xdr:to>
      <xdr:col>33</xdr:col>
      <xdr:colOff>169672</xdr:colOff>
      <xdr:row>119</xdr:row>
      <xdr:rowOff>76199</xdr:rowOff>
    </xdr:to>
    <xdr:cxnSp macro="">
      <xdr:nvCxnSpPr>
        <xdr:cNvPr id="143459" name="직선 화살표 연결선 143458">
          <a:extLst>
            <a:ext uri="{FF2B5EF4-FFF2-40B4-BE49-F238E27FC236}">
              <a16:creationId xmlns:a16="http://schemas.microsoft.com/office/drawing/2014/main" id="{00000000-0008-0000-0100-000063300200}"/>
            </a:ext>
          </a:extLst>
        </xdr:cNvPr>
        <xdr:cNvCxnSpPr/>
      </xdr:nvCxnSpPr>
      <xdr:spPr>
        <a:xfrm>
          <a:off x="17176496" y="18417539"/>
          <a:ext cx="848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xdr:colOff>
      <xdr:row>118</xdr:row>
      <xdr:rowOff>19049</xdr:rowOff>
    </xdr:from>
    <xdr:to>
      <xdr:col>33</xdr:col>
      <xdr:colOff>86105</xdr:colOff>
      <xdr:row>118</xdr:row>
      <xdr:rowOff>133349</xdr:rowOff>
    </xdr:to>
    <xdr:sp macro="" textlink="">
      <xdr:nvSpPr>
        <xdr:cNvPr id="143460" name="115">
          <a:extLst>
            <a:ext uri="{FF2B5EF4-FFF2-40B4-BE49-F238E27FC236}">
              <a16:creationId xmlns:a16="http://schemas.microsoft.com/office/drawing/2014/main" id="{00000000-0008-0000-0100-000064300200}"/>
            </a:ext>
          </a:extLst>
        </xdr:cNvPr>
        <xdr:cNvSpPr/>
      </xdr:nvSpPr>
      <xdr:spPr>
        <a:xfrm>
          <a:off x="17091661" y="18207989"/>
          <a:ext cx="8610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xdr:colOff>
      <xdr:row>118</xdr:row>
      <xdr:rowOff>76199</xdr:rowOff>
    </xdr:from>
    <xdr:to>
      <xdr:col>33</xdr:col>
      <xdr:colOff>84836</xdr:colOff>
      <xdr:row>118</xdr:row>
      <xdr:rowOff>76199</xdr:rowOff>
    </xdr:to>
    <xdr:cxnSp macro="">
      <xdr:nvCxnSpPr>
        <xdr:cNvPr id="143461" name="직선 화살표 연결선 143460">
          <a:extLst>
            <a:ext uri="{FF2B5EF4-FFF2-40B4-BE49-F238E27FC236}">
              <a16:creationId xmlns:a16="http://schemas.microsoft.com/office/drawing/2014/main" id="{00000000-0008-0000-0100-000065300200}"/>
            </a:ext>
          </a:extLst>
        </xdr:cNvPr>
        <xdr:cNvCxnSpPr/>
      </xdr:nvCxnSpPr>
      <xdr:spPr>
        <a:xfrm>
          <a:off x="17091661" y="18265139"/>
          <a:ext cx="8483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xdr:colOff>
      <xdr:row>117</xdr:row>
      <xdr:rowOff>19049</xdr:rowOff>
    </xdr:from>
    <xdr:to>
      <xdr:col>33</xdr:col>
      <xdr:colOff>340614</xdr:colOff>
      <xdr:row>117</xdr:row>
      <xdr:rowOff>133349</xdr:rowOff>
    </xdr:to>
    <xdr:sp macro="" textlink="">
      <xdr:nvSpPr>
        <xdr:cNvPr id="143462" name="114">
          <a:extLst>
            <a:ext uri="{FF2B5EF4-FFF2-40B4-BE49-F238E27FC236}">
              <a16:creationId xmlns:a16="http://schemas.microsoft.com/office/drawing/2014/main" id="{00000000-0008-0000-0100-000066300200}"/>
            </a:ext>
          </a:extLst>
        </xdr:cNvPr>
        <xdr:cNvSpPr/>
      </xdr:nvSpPr>
      <xdr:spPr>
        <a:xfrm>
          <a:off x="17091661" y="18055589"/>
          <a:ext cx="34061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xdr:colOff>
      <xdr:row>117</xdr:row>
      <xdr:rowOff>76199</xdr:rowOff>
    </xdr:from>
    <xdr:to>
      <xdr:col>33</xdr:col>
      <xdr:colOff>339344</xdr:colOff>
      <xdr:row>117</xdr:row>
      <xdr:rowOff>76199</xdr:rowOff>
    </xdr:to>
    <xdr:cxnSp macro="">
      <xdr:nvCxnSpPr>
        <xdr:cNvPr id="143463" name="직선 화살표 연결선 143462">
          <a:extLst>
            <a:ext uri="{FF2B5EF4-FFF2-40B4-BE49-F238E27FC236}">
              <a16:creationId xmlns:a16="http://schemas.microsoft.com/office/drawing/2014/main" id="{00000000-0008-0000-0100-000067300200}"/>
            </a:ext>
          </a:extLst>
        </xdr:cNvPr>
        <xdr:cNvCxnSpPr/>
      </xdr:nvCxnSpPr>
      <xdr:spPr>
        <a:xfrm>
          <a:off x="17091661" y="18112739"/>
          <a:ext cx="3393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1067291</xdr:colOff>
      <xdr:row>116</xdr:row>
      <xdr:rowOff>19049</xdr:rowOff>
    </xdr:from>
    <xdr:to>
      <xdr:col>33</xdr:col>
      <xdr:colOff>1270</xdr:colOff>
      <xdr:row>116</xdr:row>
      <xdr:rowOff>133349</xdr:rowOff>
    </xdr:to>
    <xdr:sp macro="" textlink="">
      <xdr:nvSpPr>
        <xdr:cNvPr id="143464" name="113">
          <a:extLst>
            <a:ext uri="{FF2B5EF4-FFF2-40B4-BE49-F238E27FC236}">
              <a16:creationId xmlns:a16="http://schemas.microsoft.com/office/drawing/2014/main" id="{00000000-0008-0000-0100-000068300200}"/>
            </a:ext>
          </a:extLst>
        </xdr:cNvPr>
        <xdr:cNvSpPr/>
      </xdr:nvSpPr>
      <xdr:spPr>
        <a:xfrm>
          <a:off x="16886411" y="17903189"/>
          <a:ext cx="2065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1067291</xdr:colOff>
      <xdr:row>116</xdr:row>
      <xdr:rowOff>76199</xdr:rowOff>
    </xdr:from>
    <xdr:to>
      <xdr:col>33</xdr:col>
      <xdr:colOff>1</xdr:colOff>
      <xdr:row>116</xdr:row>
      <xdr:rowOff>76199</xdr:rowOff>
    </xdr:to>
    <xdr:cxnSp macro="">
      <xdr:nvCxnSpPr>
        <xdr:cNvPr id="143465" name="직선 화살표 연결선 143464">
          <a:extLst>
            <a:ext uri="{FF2B5EF4-FFF2-40B4-BE49-F238E27FC236}">
              <a16:creationId xmlns:a16="http://schemas.microsoft.com/office/drawing/2014/main" id="{00000000-0008-0000-0100-000069300200}"/>
            </a:ext>
          </a:extLst>
        </xdr:cNvPr>
        <xdr:cNvCxnSpPr/>
      </xdr:nvCxnSpPr>
      <xdr:spPr>
        <a:xfrm>
          <a:off x="16886411" y="17960339"/>
          <a:ext cx="2052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944142</xdr:colOff>
      <xdr:row>115</xdr:row>
      <xdr:rowOff>19049</xdr:rowOff>
    </xdr:from>
    <xdr:to>
      <xdr:col>32</xdr:col>
      <xdr:colOff>1068561</xdr:colOff>
      <xdr:row>115</xdr:row>
      <xdr:rowOff>133349</xdr:rowOff>
    </xdr:to>
    <xdr:sp macro="" textlink="">
      <xdr:nvSpPr>
        <xdr:cNvPr id="143466" name="112">
          <a:extLst>
            <a:ext uri="{FF2B5EF4-FFF2-40B4-BE49-F238E27FC236}">
              <a16:creationId xmlns:a16="http://schemas.microsoft.com/office/drawing/2014/main" id="{00000000-0008-0000-0100-00006A300200}"/>
            </a:ext>
          </a:extLst>
        </xdr:cNvPr>
        <xdr:cNvSpPr/>
      </xdr:nvSpPr>
      <xdr:spPr>
        <a:xfrm>
          <a:off x="16763262" y="17750789"/>
          <a:ext cx="1244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944142</xdr:colOff>
      <xdr:row>115</xdr:row>
      <xdr:rowOff>76199</xdr:rowOff>
    </xdr:from>
    <xdr:to>
      <xdr:col>32</xdr:col>
      <xdr:colOff>1067291</xdr:colOff>
      <xdr:row>115</xdr:row>
      <xdr:rowOff>76199</xdr:rowOff>
    </xdr:to>
    <xdr:cxnSp macro="">
      <xdr:nvCxnSpPr>
        <xdr:cNvPr id="143467" name="직선 화살표 연결선 143466">
          <a:extLst>
            <a:ext uri="{FF2B5EF4-FFF2-40B4-BE49-F238E27FC236}">
              <a16:creationId xmlns:a16="http://schemas.microsoft.com/office/drawing/2014/main" id="{00000000-0008-0000-0100-00006B300200}"/>
            </a:ext>
          </a:extLst>
        </xdr:cNvPr>
        <xdr:cNvCxnSpPr/>
      </xdr:nvCxnSpPr>
      <xdr:spPr>
        <a:xfrm>
          <a:off x="16763262" y="17807939"/>
          <a:ext cx="1231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738894</xdr:colOff>
      <xdr:row>114</xdr:row>
      <xdr:rowOff>19049</xdr:rowOff>
    </xdr:from>
    <xdr:to>
      <xdr:col>32</xdr:col>
      <xdr:colOff>863313</xdr:colOff>
      <xdr:row>114</xdr:row>
      <xdr:rowOff>133349</xdr:rowOff>
    </xdr:to>
    <xdr:sp macro="" textlink="">
      <xdr:nvSpPr>
        <xdr:cNvPr id="143468" name="111">
          <a:extLst>
            <a:ext uri="{FF2B5EF4-FFF2-40B4-BE49-F238E27FC236}">
              <a16:creationId xmlns:a16="http://schemas.microsoft.com/office/drawing/2014/main" id="{00000000-0008-0000-0100-00006C300200}"/>
            </a:ext>
          </a:extLst>
        </xdr:cNvPr>
        <xdr:cNvSpPr/>
      </xdr:nvSpPr>
      <xdr:spPr>
        <a:xfrm>
          <a:off x="16558014" y="17598389"/>
          <a:ext cx="1244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738894</xdr:colOff>
      <xdr:row>114</xdr:row>
      <xdr:rowOff>76199</xdr:rowOff>
    </xdr:from>
    <xdr:to>
      <xdr:col>32</xdr:col>
      <xdr:colOff>862043</xdr:colOff>
      <xdr:row>114</xdr:row>
      <xdr:rowOff>76199</xdr:rowOff>
    </xdr:to>
    <xdr:cxnSp macro="">
      <xdr:nvCxnSpPr>
        <xdr:cNvPr id="143469" name="직선 화살표 연결선 143468">
          <a:extLst>
            <a:ext uri="{FF2B5EF4-FFF2-40B4-BE49-F238E27FC236}">
              <a16:creationId xmlns:a16="http://schemas.microsoft.com/office/drawing/2014/main" id="{00000000-0008-0000-0100-00006D300200}"/>
            </a:ext>
          </a:extLst>
        </xdr:cNvPr>
        <xdr:cNvCxnSpPr/>
      </xdr:nvCxnSpPr>
      <xdr:spPr>
        <a:xfrm>
          <a:off x="16558014" y="17655539"/>
          <a:ext cx="1231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697844</xdr:colOff>
      <xdr:row>113</xdr:row>
      <xdr:rowOff>19049</xdr:rowOff>
    </xdr:from>
    <xdr:to>
      <xdr:col>32</xdr:col>
      <xdr:colOff>740164</xdr:colOff>
      <xdr:row>113</xdr:row>
      <xdr:rowOff>133349</xdr:rowOff>
    </xdr:to>
    <xdr:sp macro="" textlink="">
      <xdr:nvSpPr>
        <xdr:cNvPr id="143470" name="110">
          <a:extLst>
            <a:ext uri="{FF2B5EF4-FFF2-40B4-BE49-F238E27FC236}">
              <a16:creationId xmlns:a16="http://schemas.microsoft.com/office/drawing/2014/main" id="{00000000-0008-0000-0100-00006E300200}"/>
            </a:ext>
          </a:extLst>
        </xdr:cNvPr>
        <xdr:cNvSpPr/>
      </xdr:nvSpPr>
      <xdr:spPr>
        <a:xfrm>
          <a:off x="16516964" y="17445989"/>
          <a:ext cx="42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697844</xdr:colOff>
      <xdr:row>113</xdr:row>
      <xdr:rowOff>76199</xdr:rowOff>
    </xdr:from>
    <xdr:to>
      <xdr:col>32</xdr:col>
      <xdr:colOff>738894</xdr:colOff>
      <xdr:row>113</xdr:row>
      <xdr:rowOff>76199</xdr:rowOff>
    </xdr:to>
    <xdr:cxnSp macro="">
      <xdr:nvCxnSpPr>
        <xdr:cNvPr id="143471" name="직선 화살표 연결선 143470">
          <a:extLst>
            <a:ext uri="{FF2B5EF4-FFF2-40B4-BE49-F238E27FC236}">
              <a16:creationId xmlns:a16="http://schemas.microsoft.com/office/drawing/2014/main" id="{00000000-0008-0000-0100-00006F300200}"/>
            </a:ext>
          </a:extLst>
        </xdr:cNvPr>
        <xdr:cNvCxnSpPr/>
      </xdr:nvCxnSpPr>
      <xdr:spPr>
        <a:xfrm>
          <a:off x="16516964" y="17503139"/>
          <a:ext cx="410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205248</xdr:colOff>
      <xdr:row>112</xdr:row>
      <xdr:rowOff>19049</xdr:rowOff>
    </xdr:from>
    <xdr:to>
      <xdr:col>32</xdr:col>
      <xdr:colOff>699114</xdr:colOff>
      <xdr:row>112</xdr:row>
      <xdr:rowOff>133349</xdr:rowOff>
    </xdr:to>
    <xdr:sp macro="" textlink="">
      <xdr:nvSpPr>
        <xdr:cNvPr id="143472" name="109">
          <a:extLst>
            <a:ext uri="{FF2B5EF4-FFF2-40B4-BE49-F238E27FC236}">
              <a16:creationId xmlns:a16="http://schemas.microsoft.com/office/drawing/2014/main" id="{00000000-0008-0000-0100-000070300200}"/>
            </a:ext>
          </a:extLst>
        </xdr:cNvPr>
        <xdr:cNvSpPr/>
      </xdr:nvSpPr>
      <xdr:spPr>
        <a:xfrm>
          <a:off x="16024368" y="17293589"/>
          <a:ext cx="4938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205248</xdr:colOff>
      <xdr:row>112</xdr:row>
      <xdr:rowOff>76199</xdr:rowOff>
    </xdr:from>
    <xdr:to>
      <xdr:col>32</xdr:col>
      <xdr:colOff>697844</xdr:colOff>
      <xdr:row>112</xdr:row>
      <xdr:rowOff>76199</xdr:rowOff>
    </xdr:to>
    <xdr:cxnSp macro="">
      <xdr:nvCxnSpPr>
        <xdr:cNvPr id="143473" name="직선 화살표 연결선 143472">
          <a:extLst>
            <a:ext uri="{FF2B5EF4-FFF2-40B4-BE49-F238E27FC236}">
              <a16:creationId xmlns:a16="http://schemas.microsoft.com/office/drawing/2014/main" id="{00000000-0008-0000-0100-000071300200}"/>
            </a:ext>
          </a:extLst>
        </xdr:cNvPr>
        <xdr:cNvCxnSpPr/>
      </xdr:nvCxnSpPr>
      <xdr:spPr>
        <a:xfrm>
          <a:off x="16024368" y="17350739"/>
          <a:ext cx="49259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205248</xdr:colOff>
      <xdr:row>111</xdr:row>
      <xdr:rowOff>19049</xdr:rowOff>
    </xdr:from>
    <xdr:to>
      <xdr:col>33</xdr:col>
      <xdr:colOff>340614</xdr:colOff>
      <xdr:row>111</xdr:row>
      <xdr:rowOff>133349</xdr:rowOff>
    </xdr:to>
    <xdr:sp macro="" textlink="">
      <xdr:nvSpPr>
        <xdr:cNvPr id="143474" name="108">
          <a:extLst>
            <a:ext uri="{FF2B5EF4-FFF2-40B4-BE49-F238E27FC236}">
              <a16:creationId xmlns:a16="http://schemas.microsoft.com/office/drawing/2014/main" id="{00000000-0008-0000-0100-000072300200}"/>
            </a:ext>
          </a:extLst>
        </xdr:cNvPr>
        <xdr:cNvSpPr/>
      </xdr:nvSpPr>
      <xdr:spPr>
        <a:xfrm>
          <a:off x="16024368" y="17141189"/>
          <a:ext cx="140790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205248</xdr:colOff>
      <xdr:row>111</xdr:row>
      <xdr:rowOff>76199</xdr:rowOff>
    </xdr:from>
    <xdr:to>
      <xdr:col>33</xdr:col>
      <xdr:colOff>339344</xdr:colOff>
      <xdr:row>111</xdr:row>
      <xdr:rowOff>76199</xdr:rowOff>
    </xdr:to>
    <xdr:cxnSp macro="">
      <xdr:nvCxnSpPr>
        <xdr:cNvPr id="143475" name="직선 화살표 연결선 143474">
          <a:extLst>
            <a:ext uri="{FF2B5EF4-FFF2-40B4-BE49-F238E27FC236}">
              <a16:creationId xmlns:a16="http://schemas.microsoft.com/office/drawing/2014/main" id="{00000000-0008-0000-0100-000073300200}"/>
            </a:ext>
          </a:extLst>
        </xdr:cNvPr>
        <xdr:cNvCxnSpPr/>
      </xdr:nvCxnSpPr>
      <xdr:spPr>
        <a:xfrm>
          <a:off x="16024368" y="17198339"/>
          <a:ext cx="14066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123149</xdr:colOff>
      <xdr:row>110</xdr:row>
      <xdr:rowOff>19049</xdr:rowOff>
    </xdr:from>
    <xdr:to>
      <xdr:col>32</xdr:col>
      <xdr:colOff>206517</xdr:colOff>
      <xdr:row>110</xdr:row>
      <xdr:rowOff>133349</xdr:rowOff>
    </xdr:to>
    <xdr:sp macro="" textlink="">
      <xdr:nvSpPr>
        <xdr:cNvPr id="143476" name="107">
          <a:extLst>
            <a:ext uri="{FF2B5EF4-FFF2-40B4-BE49-F238E27FC236}">
              <a16:creationId xmlns:a16="http://schemas.microsoft.com/office/drawing/2014/main" id="{00000000-0008-0000-0100-000074300200}"/>
            </a:ext>
          </a:extLst>
        </xdr:cNvPr>
        <xdr:cNvSpPr/>
      </xdr:nvSpPr>
      <xdr:spPr>
        <a:xfrm>
          <a:off x="15942269" y="16988789"/>
          <a:ext cx="8336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123149</xdr:colOff>
      <xdr:row>110</xdr:row>
      <xdr:rowOff>76199</xdr:rowOff>
    </xdr:from>
    <xdr:to>
      <xdr:col>32</xdr:col>
      <xdr:colOff>205248</xdr:colOff>
      <xdr:row>110</xdr:row>
      <xdr:rowOff>76199</xdr:rowOff>
    </xdr:to>
    <xdr:cxnSp macro="">
      <xdr:nvCxnSpPr>
        <xdr:cNvPr id="143477" name="직선 화살표 연결선 143476">
          <a:extLst>
            <a:ext uri="{FF2B5EF4-FFF2-40B4-BE49-F238E27FC236}">
              <a16:creationId xmlns:a16="http://schemas.microsoft.com/office/drawing/2014/main" id="{00000000-0008-0000-0100-000075300200}"/>
            </a:ext>
          </a:extLst>
        </xdr:cNvPr>
        <xdr:cNvCxnSpPr/>
      </xdr:nvCxnSpPr>
      <xdr:spPr>
        <a:xfrm>
          <a:off x="15942269" y="17045939"/>
          <a:ext cx="8209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123149</xdr:colOff>
      <xdr:row>109</xdr:row>
      <xdr:rowOff>19049</xdr:rowOff>
    </xdr:from>
    <xdr:to>
      <xdr:col>32</xdr:col>
      <xdr:colOff>206517</xdr:colOff>
      <xdr:row>109</xdr:row>
      <xdr:rowOff>133349</xdr:rowOff>
    </xdr:to>
    <xdr:sp macro="" textlink="">
      <xdr:nvSpPr>
        <xdr:cNvPr id="143478" name="106">
          <a:extLst>
            <a:ext uri="{FF2B5EF4-FFF2-40B4-BE49-F238E27FC236}">
              <a16:creationId xmlns:a16="http://schemas.microsoft.com/office/drawing/2014/main" id="{00000000-0008-0000-0100-000076300200}"/>
            </a:ext>
          </a:extLst>
        </xdr:cNvPr>
        <xdr:cNvSpPr/>
      </xdr:nvSpPr>
      <xdr:spPr>
        <a:xfrm>
          <a:off x="15942269" y="16836389"/>
          <a:ext cx="8336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123149</xdr:colOff>
      <xdr:row>109</xdr:row>
      <xdr:rowOff>76199</xdr:rowOff>
    </xdr:from>
    <xdr:to>
      <xdr:col>32</xdr:col>
      <xdr:colOff>205248</xdr:colOff>
      <xdr:row>109</xdr:row>
      <xdr:rowOff>76199</xdr:rowOff>
    </xdr:to>
    <xdr:cxnSp macro="">
      <xdr:nvCxnSpPr>
        <xdr:cNvPr id="143479" name="직선 화살표 연결선 143478">
          <a:extLst>
            <a:ext uri="{FF2B5EF4-FFF2-40B4-BE49-F238E27FC236}">
              <a16:creationId xmlns:a16="http://schemas.microsoft.com/office/drawing/2014/main" id="{00000000-0008-0000-0100-000077300200}"/>
            </a:ext>
          </a:extLst>
        </xdr:cNvPr>
        <xdr:cNvCxnSpPr/>
      </xdr:nvCxnSpPr>
      <xdr:spPr>
        <a:xfrm>
          <a:off x="15942269" y="16893539"/>
          <a:ext cx="8209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123149</xdr:colOff>
      <xdr:row>108</xdr:row>
      <xdr:rowOff>19049</xdr:rowOff>
    </xdr:from>
    <xdr:to>
      <xdr:col>34</xdr:col>
      <xdr:colOff>1270</xdr:colOff>
      <xdr:row>108</xdr:row>
      <xdr:rowOff>133349</xdr:rowOff>
    </xdr:to>
    <xdr:sp macro="" textlink="">
      <xdr:nvSpPr>
        <xdr:cNvPr id="143480" name="105">
          <a:extLst>
            <a:ext uri="{FF2B5EF4-FFF2-40B4-BE49-F238E27FC236}">
              <a16:creationId xmlns:a16="http://schemas.microsoft.com/office/drawing/2014/main" id="{00000000-0008-0000-0100-000078300200}"/>
            </a:ext>
          </a:extLst>
        </xdr:cNvPr>
        <xdr:cNvSpPr/>
      </xdr:nvSpPr>
      <xdr:spPr>
        <a:xfrm>
          <a:off x="15942269" y="16683989"/>
          <a:ext cx="242320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123149</xdr:colOff>
      <xdr:row>108</xdr:row>
      <xdr:rowOff>76199</xdr:rowOff>
    </xdr:from>
    <xdr:to>
      <xdr:col>34</xdr:col>
      <xdr:colOff>0</xdr:colOff>
      <xdr:row>108</xdr:row>
      <xdr:rowOff>76199</xdr:rowOff>
    </xdr:to>
    <xdr:cxnSp macro="">
      <xdr:nvCxnSpPr>
        <xdr:cNvPr id="143481" name="직선 화살표 연결선 143480">
          <a:extLst>
            <a:ext uri="{FF2B5EF4-FFF2-40B4-BE49-F238E27FC236}">
              <a16:creationId xmlns:a16="http://schemas.microsoft.com/office/drawing/2014/main" id="{00000000-0008-0000-0100-000079300200}"/>
            </a:ext>
          </a:extLst>
        </xdr:cNvPr>
        <xdr:cNvCxnSpPr/>
      </xdr:nvCxnSpPr>
      <xdr:spPr>
        <a:xfrm>
          <a:off x="15942269" y="16741139"/>
          <a:ext cx="2421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123149</xdr:colOff>
      <xdr:row>107</xdr:row>
      <xdr:rowOff>19049</xdr:rowOff>
    </xdr:from>
    <xdr:to>
      <xdr:col>32</xdr:col>
      <xdr:colOff>740164</xdr:colOff>
      <xdr:row>107</xdr:row>
      <xdr:rowOff>133349</xdr:rowOff>
    </xdr:to>
    <xdr:sp macro="" textlink="">
      <xdr:nvSpPr>
        <xdr:cNvPr id="143482" name="104">
          <a:extLst>
            <a:ext uri="{FF2B5EF4-FFF2-40B4-BE49-F238E27FC236}">
              <a16:creationId xmlns:a16="http://schemas.microsoft.com/office/drawing/2014/main" id="{00000000-0008-0000-0100-00007A300200}"/>
            </a:ext>
          </a:extLst>
        </xdr:cNvPr>
        <xdr:cNvSpPr/>
      </xdr:nvSpPr>
      <xdr:spPr>
        <a:xfrm>
          <a:off x="15942269" y="16531589"/>
          <a:ext cx="61701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123149</xdr:colOff>
      <xdr:row>107</xdr:row>
      <xdr:rowOff>76199</xdr:rowOff>
    </xdr:from>
    <xdr:to>
      <xdr:col>32</xdr:col>
      <xdr:colOff>738894</xdr:colOff>
      <xdr:row>107</xdr:row>
      <xdr:rowOff>76199</xdr:rowOff>
    </xdr:to>
    <xdr:cxnSp macro="">
      <xdr:nvCxnSpPr>
        <xdr:cNvPr id="143483" name="직선 화살표 연결선 143482">
          <a:extLst>
            <a:ext uri="{FF2B5EF4-FFF2-40B4-BE49-F238E27FC236}">
              <a16:creationId xmlns:a16="http://schemas.microsoft.com/office/drawing/2014/main" id="{00000000-0008-0000-0100-00007B300200}"/>
            </a:ext>
          </a:extLst>
        </xdr:cNvPr>
        <xdr:cNvCxnSpPr/>
      </xdr:nvCxnSpPr>
      <xdr:spPr>
        <a:xfrm>
          <a:off x="15942269" y="16588739"/>
          <a:ext cx="61574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1187705</xdr:colOff>
      <xdr:row>106</xdr:row>
      <xdr:rowOff>19049</xdr:rowOff>
    </xdr:from>
    <xdr:to>
      <xdr:col>32</xdr:col>
      <xdr:colOff>1269</xdr:colOff>
      <xdr:row>106</xdr:row>
      <xdr:rowOff>133349</xdr:rowOff>
    </xdr:to>
    <xdr:sp macro="" textlink="">
      <xdr:nvSpPr>
        <xdr:cNvPr id="143484" name="103">
          <a:extLst>
            <a:ext uri="{FF2B5EF4-FFF2-40B4-BE49-F238E27FC236}">
              <a16:creationId xmlns:a16="http://schemas.microsoft.com/office/drawing/2014/main" id="{00000000-0008-0000-0100-00007C300200}"/>
            </a:ext>
          </a:extLst>
        </xdr:cNvPr>
        <xdr:cNvSpPr/>
      </xdr:nvSpPr>
      <xdr:spPr>
        <a:xfrm>
          <a:off x="15734285" y="16379189"/>
          <a:ext cx="8610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1187705</xdr:colOff>
      <xdr:row>106</xdr:row>
      <xdr:rowOff>76199</xdr:rowOff>
    </xdr:from>
    <xdr:to>
      <xdr:col>32</xdr:col>
      <xdr:colOff>0</xdr:colOff>
      <xdr:row>106</xdr:row>
      <xdr:rowOff>76199</xdr:rowOff>
    </xdr:to>
    <xdr:cxnSp macro="">
      <xdr:nvCxnSpPr>
        <xdr:cNvPr id="143485" name="직선 화살표 연결선 143484">
          <a:extLst>
            <a:ext uri="{FF2B5EF4-FFF2-40B4-BE49-F238E27FC236}">
              <a16:creationId xmlns:a16="http://schemas.microsoft.com/office/drawing/2014/main" id="{00000000-0008-0000-0100-00007D300200}"/>
            </a:ext>
          </a:extLst>
        </xdr:cNvPr>
        <xdr:cNvCxnSpPr/>
      </xdr:nvCxnSpPr>
      <xdr:spPr>
        <a:xfrm>
          <a:off x="15734285" y="16436339"/>
          <a:ext cx="8483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1060450</xdr:colOff>
      <xdr:row>105</xdr:row>
      <xdr:rowOff>19049</xdr:rowOff>
    </xdr:from>
    <xdr:to>
      <xdr:col>31</xdr:col>
      <xdr:colOff>1188974</xdr:colOff>
      <xdr:row>105</xdr:row>
      <xdr:rowOff>133349</xdr:rowOff>
    </xdr:to>
    <xdr:sp macro="" textlink="">
      <xdr:nvSpPr>
        <xdr:cNvPr id="143486" name="102">
          <a:extLst>
            <a:ext uri="{FF2B5EF4-FFF2-40B4-BE49-F238E27FC236}">
              <a16:creationId xmlns:a16="http://schemas.microsoft.com/office/drawing/2014/main" id="{00000000-0008-0000-0100-00007E300200}"/>
            </a:ext>
          </a:extLst>
        </xdr:cNvPr>
        <xdr:cNvSpPr/>
      </xdr:nvSpPr>
      <xdr:spPr>
        <a:xfrm>
          <a:off x="15607030" y="16226789"/>
          <a:ext cx="1285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1060450</xdr:colOff>
      <xdr:row>105</xdr:row>
      <xdr:rowOff>76199</xdr:rowOff>
    </xdr:from>
    <xdr:to>
      <xdr:col>31</xdr:col>
      <xdr:colOff>1187705</xdr:colOff>
      <xdr:row>105</xdr:row>
      <xdr:rowOff>76199</xdr:rowOff>
    </xdr:to>
    <xdr:cxnSp macro="">
      <xdr:nvCxnSpPr>
        <xdr:cNvPr id="143487" name="직선 화살표 연결선 143486">
          <a:extLst>
            <a:ext uri="{FF2B5EF4-FFF2-40B4-BE49-F238E27FC236}">
              <a16:creationId xmlns:a16="http://schemas.microsoft.com/office/drawing/2014/main" id="{00000000-0008-0000-0100-00007F300200}"/>
            </a:ext>
          </a:extLst>
        </xdr:cNvPr>
        <xdr:cNvCxnSpPr/>
      </xdr:nvCxnSpPr>
      <xdr:spPr>
        <a:xfrm>
          <a:off x="15607030" y="16283939"/>
          <a:ext cx="1272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1060450</xdr:colOff>
      <xdr:row>104</xdr:row>
      <xdr:rowOff>19049</xdr:rowOff>
    </xdr:from>
    <xdr:to>
      <xdr:col>32</xdr:col>
      <xdr:colOff>740164</xdr:colOff>
      <xdr:row>104</xdr:row>
      <xdr:rowOff>133349</xdr:rowOff>
    </xdr:to>
    <xdr:sp macro="" textlink="">
      <xdr:nvSpPr>
        <xdr:cNvPr id="143488" name="101">
          <a:extLst>
            <a:ext uri="{FF2B5EF4-FFF2-40B4-BE49-F238E27FC236}">
              <a16:creationId xmlns:a16="http://schemas.microsoft.com/office/drawing/2014/main" id="{00000000-0008-0000-0100-000080300200}"/>
            </a:ext>
          </a:extLst>
        </xdr:cNvPr>
        <xdr:cNvSpPr/>
      </xdr:nvSpPr>
      <xdr:spPr>
        <a:xfrm>
          <a:off x="15607030" y="16074389"/>
          <a:ext cx="95225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1060450</xdr:colOff>
      <xdr:row>104</xdr:row>
      <xdr:rowOff>76199</xdr:rowOff>
    </xdr:from>
    <xdr:to>
      <xdr:col>32</xdr:col>
      <xdr:colOff>738894</xdr:colOff>
      <xdr:row>104</xdr:row>
      <xdr:rowOff>76199</xdr:rowOff>
    </xdr:to>
    <xdr:cxnSp macro="">
      <xdr:nvCxnSpPr>
        <xdr:cNvPr id="143489" name="직선 화살표 연결선 143488">
          <a:extLst>
            <a:ext uri="{FF2B5EF4-FFF2-40B4-BE49-F238E27FC236}">
              <a16:creationId xmlns:a16="http://schemas.microsoft.com/office/drawing/2014/main" id="{00000000-0008-0000-0100-000081300200}"/>
            </a:ext>
          </a:extLst>
        </xdr:cNvPr>
        <xdr:cNvCxnSpPr/>
      </xdr:nvCxnSpPr>
      <xdr:spPr>
        <a:xfrm>
          <a:off x="15607030" y="16131539"/>
          <a:ext cx="95098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738894</xdr:colOff>
      <xdr:row>103</xdr:row>
      <xdr:rowOff>19049</xdr:rowOff>
    </xdr:from>
    <xdr:to>
      <xdr:col>34</xdr:col>
      <xdr:colOff>1232760</xdr:colOff>
      <xdr:row>103</xdr:row>
      <xdr:rowOff>133349</xdr:rowOff>
    </xdr:to>
    <xdr:sp macro="" textlink="">
      <xdr:nvSpPr>
        <xdr:cNvPr id="143490" name="100">
          <a:extLst>
            <a:ext uri="{FF2B5EF4-FFF2-40B4-BE49-F238E27FC236}">
              <a16:creationId xmlns:a16="http://schemas.microsoft.com/office/drawing/2014/main" id="{00000000-0008-0000-0100-000082300200}"/>
            </a:ext>
          </a:extLst>
        </xdr:cNvPr>
        <xdr:cNvSpPr/>
      </xdr:nvSpPr>
      <xdr:spPr>
        <a:xfrm>
          <a:off x="16558014" y="15921989"/>
          <a:ext cx="303894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738894</xdr:colOff>
      <xdr:row>103</xdr:row>
      <xdr:rowOff>76199</xdr:rowOff>
    </xdr:from>
    <xdr:to>
      <xdr:col>33</xdr:col>
      <xdr:colOff>268908</xdr:colOff>
      <xdr:row>103</xdr:row>
      <xdr:rowOff>76199</xdr:rowOff>
    </xdr:to>
    <xdr:cxnSp macro="">
      <xdr:nvCxnSpPr>
        <xdr:cNvPr id="143491" name="직선 화살표 연결선 143490">
          <a:extLst>
            <a:ext uri="{FF2B5EF4-FFF2-40B4-BE49-F238E27FC236}">
              <a16:creationId xmlns:a16="http://schemas.microsoft.com/office/drawing/2014/main" id="{00000000-0008-0000-0100-000083300200}"/>
            </a:ext>
          </a:extLst>
        </xdr:cNvPr>
        <xdr:cNvCxnSpPr/>
      </xdr:nvCxnSpPr>
      <xdr:spPr>
        <a:xfrm>
          <a:off x="16558014" y="15979139"/>
          <a:ext cx="8025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1060450</xdr:colOff>
      <xdr:row>102</xdr:row>
      <xdr:rowOff>19049</xdr:rowOff>
    </xdr:from>
    <xdr:to>
      <xdr:col>32</xdr:col>
      <xdr:colOff>740164</xdr:colOff>
      <xdr:row>102</xdr:row>
      <xdr:rowOff>133349</xdr:rowOff>
    </xdr:to>
    <xdr:sp macro="" textlink="">
      <xdr:nvSpPr>
        <xdr:cNvPr id="143492" name="99">
          <a:extLst>
            <a:ext uri="{FF2B5EF4-FFF2-40B4-BE49-F238E27FC236}">
              <a16:creationId xmlns:a16="http://schemas.microsoft.com/office/drawing/2014/main" id="{00000000-0008-0000-0100-000084300200}"/>
            </a:ext>
          </a:extLst>
        </xdr:cNvPr>
        <xdr:cNvSpPr/>
      </xdr:nvSpPr>
      <xdr:spPr>
        <a:xfrm>
          <a:off x="15607030" y="15769589"/>
          <a:ext cx="9522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1060450</xdr:colOff>
      <xdr:row>102</xdr:row>
      <xdr:rowOff>76199</xdr:rowOff>
    </xdr:from>
    <xdr:to>
      <xdr:col>32</xdr:col>
      <xdr:colOff>738894</xdr:colOff>
      <xdr:row>102</xdr:row>
      <xdr:rowOff>76199</xdr:rowOff>
    </xdr:to>
    <xdr:cxnSp macro="">
      <xdr:nvCxnSpPr>
        <xdr:cNvPr id="143493" name="직선 화살표 연결선 143492">
          <a:extLst>
            <a:ext uri="{FF2B5EF4-FFF2-40B4-BE49-F238E27FC236}">
              <a16:creationId xmlns:a16="http://schemas.microsoft.com/office/drawing/2014/main" id="{00000000-0008-0000-0100-000085300200}"/>
            </a:ext>
          </a:extLst>
        </xdr:cNvPr>
        <xdr:cNvCxnSpPr/>
      </xdr:nvCxnSpPr>
      <xdr:spPr>
        <a:xfrm>
          <a:off x="15607030" y="15826739"/>
          <a:ext cx="95098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763524</xdr:colOff>
      <xdr:row>101</xdr:row>
      <xdr:rowOff>19049</xdr:rowOff>
    </xdr:from>
    <xdr:to>
      <xdr:col>31</xdr:col>
      <xdr:colOff>976883</xdr:colOff>
      <xdr:row>101</xdr:row>
      <xdr:rowOff>133349</xdr:rowOff>
    </xdr:to>
    <xdr:sp macro="" textlink="">
      <xdr:nvSpPr>
        <xdr:cNvPr id="143494" name="98">
          <a:extLst>
            <a:ext uri="{FF2B5EF4-FFF2-40B4-BE49-F238E27FC236}">
              <a16:creationId xmlns:a16="http://schemas.microsoft.com/office/drawing/2014/main" id="{00000000-0008-0000-0100-000086300200}"/>
            </a:ext>
          </a:extLst>
        </xdr:cNvPr>
        <xdr:cNvSpPr/>
      </xdr:nvSpPr>
      <xdr:spPr>
        <a:xfrm>
          <a:off x="15310104" y="15617189"/>
          <a:ext cx="21335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763524</xdr:colOff>
      <xdr:row>101</xdr:row>
      <xdr:rowOff>76199</xdr:rowOff>
    </xdr:from>
    <xdr:to>
      <xdr:col>31</xdr:col>
      <xdr:colOff>975614</xdr:colOff>
      <xdr:row>101</xdr:row>
      <xdr:rowOff>76199</xdr:rowOff>
    </xdr:to>
    <xdr:cxnSp macro="">
      <xdr:nvCxnSpPr>
        <xdr:cNvPr id="143495" name="직선 화살표 연결선 143494">
          <a:extLst>
            <a:ext uri="{FF2B5EF4-FFF2-40B4-BE49-F238E27FC236}">
              <a16:creationId xmlns:a16="http://schemas.microsoft.com/office/drawing/2014/main" id="{00000000-0008-0000-0100-000087300200}"/>
            </a:ext>
          </a:extLst>
        </xdr:cNvPr>
        <xdr:cNvCxnSpPr/>
      </xdr:nvCxnSpPr>
      <xdr:spPr>
        <a:xfrm>
          <a:off x="15310104" y="15674339"/>
          <a:ext cx="21209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551433</xdr:colOff>
      <xdr:row>100</xdr:row>
      <xdr:rowOff>19049</xdr:rowOff>
    </xdr:from>
    <xdr:to>
      <xdr:col>31</xdr:col>
      <xdr:colOff>679957</xdr:colOff>
      <xdr:row>100</xdr:row>
      <xdr:rowOff>133349</xdr:rowOff>
    </xdr:to>
    <xdr:sp macro="" textlink="">
      <xdr:nvSpPr>
        <xdr:cNvPr id="143496" name="97">
          <a:extLst>
            <a:ext uri="{FF2B5EF4-FFF2-40B4-BE49-F238E27FC236}">
              <a16:creationId xmlns:a16="http://schemas.microsoft.com/office/drawing/2014/main" id="{00000000-0008-0000-0100-000088300200}"/>
            </a:ext>
          </a:extLst>
        </xdr:cNvPr>
        <xdr:cNvSpPr/>
      </xdr:nvSpPr>
      <xdr:spPr>
        <a:xfrm>
          <a:off x="15098013" y="15464789"/>
          <a:ext cx="1285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551433</xdr:colOff>
      <xdr:row>100</xdr:row>
      <xdr:rowOff>76199</xdr:rowOff>
    </xdr:from>
    <xdr:to>
      <xdr:col>31</xdr:col>
      <xdr:colOff>678688</xdr:colOff>
      <xdr:row>100</xdr:row>
      <xdr:rowOff>76199</xdr:rowOff>
    </xdr:to>
    <xdr:cxnSp macro="">
      <xdr:nvCxnSpPr>
        <xdr:cNvPr id="143497" name="직선 화살표 연결선 143496">
          <a:extLst>
            <a:ext uri="{FF2B5EF4-FFF2-40B4-BE49-F238E27FC236}">
              <a16:creationId xmlns:a16="http://schemas.microsoft.com/office/drawing/2014/main" id="{00000000-0008-0000-0100-000089300200}"/>
            </a:ext>
          </a:extLst>
        </xdr:cNvPr>
        <xdr:cNvCxnSpPr/>
      </xdr:nvCxnSpPr>
      <xdr:spPr>
        <a:xfrm>
          <a:off x="15098013" y="15521939"/>
          <a:ext cx="1272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551433</xdr:colOff>
      <xdr:row>99</xdr:row>
      <xdr:rowOff>19049</xdr:rowOff>
    </xdr:from>
    <xdr:to>
      <xdr:col>34</xdr:col>
      <xdr:colOff>1232760</xdr:colOff>
      <xdr:row>99</xdr:row>
      <xdr:rowOff>133349</xdr:rowOff>
    </xdr:to>
    <xdr:sp macro="" textlink="">
      <xdr:nvSpPr>
        <xdr:cNvPr id="143498" name="96">
          <a:extLst>
            <a:ext uri="{FF2B5EF4-FFF2-40B4-BE49-F238E27FC236}">
              <a16:creationId xmlns:a16="http://schemas.microsoft.com/office/drawing/2014/main" id="{00000000-0008-0000-0100-00008A300200}"/>
            </a:ext>
          </a:extLst>
        </xdr:cNvPr>
        <xdr:cNvSpPr/>
      </xdr:nvSpPr>
      <xdr:spPr>
        <a:xfrm>
          <a:off x="15098013" y="15312389"/>
          <a:ext cx="449894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551433</xdr:colOff>
      <xdr:row>99</xdr:row>
      <xdr:rowOff>76199</xdr:rowOff>
    </xdr:from>
    <xdr:to>
      <xdr:col>33</xdr:col>
      <xdr:colOff>196165</xdr:colOff>
      <xdr:row>99</xdr:row>
      <xdr:rowOff>76199</xdr:rowOff>
    </xdr:to>
    <xdr:cxnSp macro="">
      <xdr:nvCxnSpPr>
        <xdr:cNvPr id="143499" name="직선 화살표 연결선 143498">
          <a:extLst>
            <a:ext uri="{FF2B5EF4-FFF2-40B4-BE49-F238E27FC236}">
              <a16:creationId xmlns:a16="http://schemas.microsoft.com/office/drawing/2014/main" id="{00000000-0008-0000-0100-00008B300200}"/>
            </a:ext>
          </a:extLst>
        </xdr:cNvPr>
        <xdr:cNvCxnSpPr/>
      </xdr:nvCxnSpPr>
      <xdr:spPr>
        <a:xfrm>
          <a:off x="15098013" y="15369539"/>
          <a:ext cx="21898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551433</xdr:colOff>
      <xdr:row>98</xdr:row>
      <xdr:rowOff>19049</xdr:rowOff>
    </xdr:from>
    <xdr:to>
      <xdr:col>34</xdr:col>
      <xdr:colOff>1232760</xdr:colOff>
      <xdr:row>98</xdr:row>
      <xdr:rowOff>133349</xdr:rowOff>
    </xdr:to>
    <xdr:sp macro="" textlink="">
      <xdr:nvSpPr>
        <xdr:cNvPr id="143500" name="95">
          <a:extLst>
            <a:ext uri="{FF2B5EF4-FFF2-40B4-BE49-F238E27FC236}">
              <a16:creationId xmlns:a16="http://schemas.microsoft.com/office/drawing/2014/main" id="{00000000-0008-0000-0100-00008C300200}"/>
            </a:ext>
          </a:extLst>
        </xdr:cNvPr>
        <xdr:cNvSpPr/>
      </xdr:nvSpPr>
      <xdr:spPr>
        <a:xfrm>
          <a:off x="15098013" y="15159989"/>
          <a:ext cx="449894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551433</xdr:colOff>
      <xdr:row>98</xdr:row>
      <xdr:rowOff>76199</xdr:rowOff>
    </xdr:from>
    <xdr:to>
      <xdr:col>33</xdr:col>
      <xdr:colOff>195823</xdr:colOff>
      <xdr:row>98</xdr:row>
      <xdr:rowOff>76199</xdr:rowOff>
    </xdr:to>
    <xdr:cxnSp macro="">
      <xdr:nvCxnSpPr>
        <xdr:cNvPr id="143501" name="직선 화살표 연결선 143500">
          <a:extLst>
            <a:ext uri="{FF2B5EF4-FFF2-40B4-BE49-F238E27FC236}">
              <a16:creationId xmlns:a16="http://schemas.microsoft.com/office/drawing/2014/main" id="{00000000-0008-0000-0100-00008D300200}"/>
            </a:ext>
          </a:extLst>
        </xdr:cNvPr>
        <xdr:cNvCxnSpPr/>
      </xdr:nvCxnSpPr>
      <xdr:spPr>
        <a:xfrm>
          <a:off x="15098013" y="15217139"/>
          <a:ext cx="218947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169672</xdr:colOff>
      <xdr:row>97</xdr:row>
      <xdr:rowOff>19049</xdr:rowOff>
    </xdr:from>
    <xdr:to>
      <xdr:col>31</xdr:col>
      <xdr:colOff>552703</xdr:colOff>
      <xdr:row>97</xdr:row>
      <xdr:rowOff>133349</xdr:rowOff>
    </xdr:to>
    <xdr:sp macro="" textlink="">
      <xdr:nvSpPr>
        <xdr:cNvPr id="143502" name="94">
          <a:extLst>
            <a:ext uri="{FF2B5EF4-FFF2-40B4-BE49-F238E27FC236}">
              <a16:creationId xmlns:a16="http://schemas.microsoft.com/office/drawing/2014/main" id="{00000000-0008-0000-0100-00008E300200}"/>
            </a:ext>
          </a:extLst>
        </xdr:cNvPr>
        <xdr:cNvSpPr/>
      </xdr:nvSpPr>
      <xdr:spPr>
        <a:xfrm>
          <a:off x="14716252" y="15007589"/>
          <a:ext cx="3830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169672</xdr:colOff>
      <xdr:row>97</xdr:row>
      <xdr:rowOff>76199</xdr:rowOff>
    </xdr:from>
    <xdr:to>
      <xdr:col>31</xdr:col>
      <xdr:colOff>551433</xdr:colOff>
      <xdr:row>97</xdr:row>
      <xdr:rowOff>76199</xdr:rowOff>
    </xdr:to>
    <xdr:cxnSp macro="">
      <xdr:nvCxnSpPr>
        <xdr:cNvPr id="143503" name="직선 화살표 연결선 143502">
          <a:extLst>
            <a:ext uri="{FF2B5EF4-FFF2-40B4-BE49-F238E27FC236}">
              <a16:creationId xmlns:a16="http://schemas.microsoft.com/office/drawing/2014/main" id="{00000000-0008-0000-0100-00008F300200}"/>
            </a:ext>
          </a:extLst>
        </xdr:cNvPr>
        <xdr:cNvCxnSpPr/>
      </xdr:nvCxnSpPr>
      <xdr:spPr>
        <a:xfrm>
          <a:off x="14716252" y="15064739"/>
          <a:ext cx="3817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169672</xdr:colOff>
      <xdr:row>96</xdr:row>
      <xdr:rowOff>19049</xdr:rowOff>
    </xdr:from>
    <xdr:to>
      <xdr:col>34</xdr:col>
      <xdr:colOff>1232760</xdr:colOff>
      <xdr:row>96</xdr:row>
      <xdr:rowOff>133349</xdr:rowOff>
    </xdr:to>
    <xdr:sp macro="" textlink="">
      <xdr:nvSpPr>
        <xdr:cNvPr id="143504" name="93">
          <a:extLst>
            <a:ext uri="{FF2B5EF4-FFF2-40B4-BE49-F238E27FC236}">
              <a16:creationId xmlns:a16="http://schemas.microsoft.com/office/drawing/2014/main" id="{00000000-0008-0000-0100-000090300200}"/>
            </a:ext>
          </a:extLst>
        </xdr:cNvPr>
        <xdr:cNvSpPr/>
      </xdr:nvSpPr>
      <xdr:spPr>
        <a:xfrm>
          <a:off x="14716252" y="14855189"/>
          <a:ext cx="488070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169672</xdr:colOff>
      <xdr:row>96</xdr:row>
      <xdr:rowOff>76199</xdr:rowOff>
    </xdr:from>
    <xdr:to>
      <xdr:col>33</xdr:col>
      <xdr:colOff>154478</xdr:colOff>
      <xdr:row>96</xdr:row>
      <xdr:rowOff>76199</xdr:rowOff>
    </xdr:to>
    <xdr:cxnSp macro="">
      <xdr:nvCxnSpPr>
        <xdr:cNvPr id="143505" name="직선 화살표 연결선 143504">
          <a:extLst>
            <a:ext uri="{FF2B5EF4-FFF2-40B4-BE49-F238E27FC236}">
              <a16:creationId xmlns:a16="http://schemas.microsoft.com/office/drawing/2014/main" id="{00000000-0008-0000-0100-000091300200}"/>
            </a:ext>
          </a:extLst>
        </xdr:cNvPr>
        <xdr:cNvCxnSpPr/>
      </xdr:nvCxnSpPr>
      <xdr:spPr>
        <a:xfrm>
          <a:off x="14716252" y="14912339"/>
          <a:ext cx="25298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169672</xdr:colOff>
      <xdr:row>95</xdr:row>
      <xdr:rowOff>19049</xdr:rowOff>
    </xdr:from>
    <xdr:to>
      <xdr:col>36</xdr:col>
      <xdr:colOff>1270</xdr:colOff>
      <xdr:row>95</xdr:row>
      <xdr:rowOff>133349</xdr:rowOff>
    </xdr:to>
    <xdr:sp macro="" textlink="">
      <xdr:nvSpPr>
        <xdr:cNvPr id="143506" name="92">
          <a:extLst>
            <a:ext uri="{FF2B5EF4-FFF2-40B4-BE49-F238E27FC236}">
              <a16:creationId xmlns:a16="http://schemas.microsoft.com/office/drawing/2014/main" id="{00000000-0008-0000-0100-000092300200}"/>
            </a:ext>
          </a:extLst>
        </xdr:cNvPr>
        <xdr:cNvSpPr/>
      </xdr:nvSpPr>
      <xdr:spPr>
        <a:xfrm>
          <a:off x="14716252" y="14702789"/>
          <a:ext cx="619429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169672</xdr:colOff>
      <xdr:row>95</xdr:row>
      <xdr:rowOff>76199</xdr:rowOff>
    </xdr:from>
    <xdr:to>
      <xdr:col>33</xdr:col>
      <xdr:colOff>751163</xdr:colOff>
      <xdr:row>95</xdr:row>
      <xdr:rowOff>76199</xdr:rowOff>
    </xdr:to>
    <xdr:cxnSp macro="">
      <xdr:nvCxnSpPr>
        <xdr:cNvPr id="143507" name="직선 화살표 연결선 143506">
          <a:extLst>
            <a:ext uri="{FF2B5EF4-FFF2-40B4-BE49-F238E27FC236}">
              <a16:creationId xmlns:a16="http://schemas.microsoft.com/office/drawing/2014/main" id="{00000000-0008-0000-0100-000093300200}"/>
            </a:ext>
          </a:extLst>
        </xdr:cNvPr>
        <xdr:cNvCxnSpPr/>
      </xdr:nvCxnSpPr>
      <xdr:spPr>
        <a:xfrm>
          <a:off x="14716252" y="14759939"/>
          <a:ext cx="312657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1026241</xdr:colOff>
      <xdr:row>94</xdr:row>
      <xdr:rowOff>19049</xdr:rowOff>
    </xdr:from>
    <xdr:to>
      <xdr:col>35</xdr:col>
      <xdr:colOff>534916</xdr:colOff>
      <xdr:row>94</xdr:row>
      <xdr:rowOff>133349</xdr:rowOff>
    </xdr:to>
    <xdr:sp macro="" textlink="">
      <xdr:nvSpPr>
        <xdr:cNvPr id="143508" name="91">
          <a:extLst>
            <a:ext uri="{FF2B5EF4-FFF2-40B4-BE49-F238E27FC236}">
              <a16:creationId xmlns:a16="http://schemas.microsoft.com/office/drawing/2014/main" id="{00000000-0008-0000-0100-000094300200}"/>
            </a:ext>
          </a:extLst>
        </xdr:cNvPr>
        <xdr:cNvSpPr/>
      </xdr:nvSpPr>
      <xdr:spPr>
        <a:xfrm>
          <a:off x="19390441" y="14550389"/>
          <a:ext cx="78121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1026241</xdr:colOff>
      <xdr:row>94</xdr:row>
      <xdr:rowOff>76199</xdr:rowOff>
    </xdr:from>
    <xdr:to>
      <xdr:col>34</xdr:col>
      <xdr:colOff>1026241</xdr:colOff>
      <xdr:row>94</xdr:row>
      <xdr:rowOff>76199</xdr:rowOff>
    </xdr:to>
    <xdr:cxnSp macro="">
      <xdr:nvCxnSpPr>
        <xdr:cNvPr id="143509" name="직선 화살표 연결선 143508">
          <a:extLst>
            <a:ext uri="{FF2B5EF4-FFF2-40B4-BE49-F238E27FC236}">
              <a16:creationId xmlns:a16="http://schemas.microsoft.com/office/drawing/2014/main" id="{00000000-0008-0000-0100-000095300200}"/>
            </a:ext>
          </a:extLst>
        </xdr:cNvPr>
        <xdr:cNvCxnSpPr/>
      </xdr:nvCxnSpPr>
      <xdr:spPr>
        <a:xfrm>
          <a:off x="19390441" y="146075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1026241</xdr:colOff>
      <xdr:row>93</xdr:row>
      <xdr:rowOff>19049</xdr:rowOff>
    </xdr:from>
    <xdr:to>
      <xdr:col>34</xdr:col>
      <xdr:colOff>1232760</xdr:colOff>
      <xdr:row>93</xdr:row>
      <xdr:rowOff>133349</xdr:rowOff>
    </xdr:to>
    <xdr:sp macro="" textlink="">
      <xdr:nvSpPr>
        <xdr:cNvPr id="143510" name="90">
          <a:extLst>
            <a:ext uri="{FF2B5EF4-FFF2-40B4-BE49-F238E27FC236}">
              <a16:creationId xmlns:a16="http://schemas.microsoft.com/office/drawing/2014/main" id="{00000000-0008-0000-0100-000096300200}"/>
            </a:ext>
          </a:extLst>
        </xdr:cNvPr>
        <xdr:cNvSpPr/>
      </xdr:nvSpPr>
      <xdr:spPr>
        <a:xfrm>
          <a:off x="19390441" y="14397989"/>
          <a:ext cx="2065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1026241</xdr:colOff>
      <xdr:row>93</xdr:row>
      <xdr:rowOff>76199</xdr:rowOff>
    </xdr:from>
    <xdr:to>
      <xdr:col>34</xdr:col>
      <xdr:colOff>1026241</xdr:colOff>
      <xdr:row>93</xdr:row>
      <xdr:rowOff>76199</xdr:rowOff>
    </xdr:to>
    <xdr:cxnSp macro="">
      <xdr:nvCxnSpPr>
        <xdr:cNvPr id="143511" name="직선 화살표 연결선 143510">
          <a:extLst>
            <a:ext uri="{FF2B5EF4-FFF2-40B4-BE49-F238E27FC236}">
              <a16:creationId xmlns:a16="http://schemas.microsoft.com/office/drawing/2014/main" id="{00000000-0008-0000-0100-000097300200}"/>
            </a:ext>
          </a:extLst>
        </xdr:cNvPr>
        <xdr:cNvCxnSpPr/>
      </xdr:nvCxnSpPr>
      <xdr:spPr>
        <a:xfrm>
          <a:off x="19390441" y="144551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1026241</xdr:colOff>
      <xdr:row>92</xdr:row>
      <xdr:rowOff>19049</xdr:rowOff>
    </xdr:from>
    <xdr:to>
      <xdr:col>34</xdr:col>
      <xdr:colOff>1232760</xdr:colOff>
      <xdr:row>92</xdr:row>
      <xdr:rowOff>133349</xdr:rowOff>
    </xdr:to>
    <xdr:sp macro="" textlink="">
      <xdr:nvSpPr>
        <xdr:cNvPr id="143512" name="89">
          <a:extLst>
            <a:ext uri="{FF2B5EF4-FFF2-40B4-BE49-F238E27FC236}">
              <a16:creationId xmlns:a16="http://schemas.microsoft.com/office/drawing/2014/main" id="{00000000-0008-0000-0100-000098300200}"/>
            </a:ext>
          </a:extLst>
        </xdr:cNvPr>
        <xdr:cNvSpPr/>
      </xdr:nvSpPr>
      <xdr:spPr>
        <a:xfrm>
          <a:off x="19390441" y="14245589"/>
          <a:ext cx="2065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1026241</xdr:colOff>
      <xdr:row>92</xdr:row>
      <xdr:rowOff>76199</xdr:rowOff>
    </xdr:from>
    <xdr:to>
      <xdr:col>34</xdr:col>
      <xdr:colOff>1026241</xdr:colOff>
      <xdr:row>92</xdr:row>
      <xdr:rowOff>76199</xdr:rowOff>
    </xdr:to>
    <xdr:cxnSp macro="">
      <xdr:nvCxnSpPr>
        <xdr:cNvPr id="143513" name="직선 화살표 연결선 143512">
          <a:extLst>
            <a:ext uri="{FF2B5EF4-FFF2-40B4-BE49-F238E27FC236}">
              <a16:creationId xmlns:a16="http://schemas.microsoft.com/office/drawing/2014/main" id="{00000000-0008-0000-0100-000099300200}"/>
            </a:ext>
          </a:extLst>
        </xdr:cNvPr>
        <xdr:cNvCxnSpPr/>
      </xdr:nvCxnSpPr>
      <xdr:spPr>
        <a:xfrm>
          <a:off x="19390441" y="143027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1026241</xdr:colOff>
      <xdr:row>91</xdr:row>
      <xdr:rowOff>19049</xdr:rowOff>
    </xdr:from>
    <xdr:to>
      <xdr:col>35</xdr:col>
      <xdr:colOff>534916</xdr:colOff>
      <xdr:row>91</xdr:row>
      <xdr:rowOff>133349</xdr:rowOff>
    </xdr:to>
    <xdr:sp macro="" textlink="">
      <xdr:nvSpPr>
        <xdr:cNvPr id="143514" name="88">
          <a:extLst>
            <a:ext uri="{FF2B5EF4-FFF2-40B4-BE49-F238E27FC236}">
              <a16:creationId xmlns:a16="http://schemas.microsoft.com/office/drawing/2014/main" id="{00000000-0008-0000-0100-00009A300200}"/>
            </a:ext>
          </a:extLst>
        </xdr:cNvPr>
        <xdr:cNvSpPr/>
      </xdr:nvSpPr>
      <xdr:spPr>
        <a:xfrm>
          <a:off x="19390441" y="14093189"/>
          <a:ext cx="78121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1026241</xdr:colOff>
      <xdr:row>91</xdr:row>
      <xdr:rowOff>76199</xdr:rowOff>
    </xdr:from>
    <xdr:to>
      <xdr:col>34</xdr:col>
      <xdr:colOff>1026241</xdr:colOff>
      <xdr:row>91</xdr:row>
      <xdr:rowOff>76199</xdr:rowOff>
    </xdr:to>
    <xdr:cxnSp macro="">
      <xdr:nvCxnSpPr>
        <xdr:cNvPr id="143515" name="직선 화살표 연결선 143514">
          <a:extLst>
            <a:ext uri="{FF2B5EF4-FFF2-40B4-BE49-F238E27FC236}">
              <a16:creationId xmlns:a16="http://schemas.microsoft.com/office/drawing/2014/main" id="{00000000-0008-0000-0100-00009B300200}"/>
            </a:ext>
          </a:extLst>
        </xdr:cNvPr>
        <xdr:cNvCxnSpPr/>
      </xdr:nvCxnSpPr>
      <xdr:spPr>
        <a:xfrm>
          <a:off x="19390441" y="141503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738894</xdr:colOff>
      <xdr:row>90</xdr:row>
      <xdr:rowOff>19049</xdr:rowOff>
    </xdr:from>
    <xdr:to>
      <xdr:col>34</xdr:col>
      <xdr:colOff>1232760</xdr:colOff>
      <xdr:row>90</xdr:row>
      <xdr:rowOff>133349</xdr:rowOff>
    </xdr:to>
    <xdr:sp macro="" textlink="">
      <xdr:nvSpPr>
        <xdr:cNvPr id="143516" name="87">
          <a:extLst>
            <a:ext uri="{FF2B5EF4-FFF2-40B4-BE49-F238E27FC236}">
              <a16:creationId xmlns:a16="http://schemas.microsoft.com/office/drawing/2014/main" id="{00000000-0008-0000-0100-00009C300200}"/>
            </a:ext>
          </a:extLst>
        </xdr:cNvPr>
        <xdr:cNvSpPr/>
      </xdr:nvSpPr>
      <xdr:spPr>
        <a:xfrm>
          <a:off x="19103094" y="13940789"/>
          <a:ext cx="4938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738894</xdr:colOff>
      <xdr:row>90</xdr:row>
      <xdr:rowOff>76199</xdr:rowOff>
    </xdr:from>
    <xdr:to>
      <xdr:col>34</xdr:col>
      <xdr:colOff>738894</xdr:colOff>
      <xdr:row>90</xdr:row>
      <xdr:rowOff>76199</xdr:rowOff>
    </xdr:to>
    <xdr:cxnSp macro="">
      <xdr:nvCxnSpPr>
        <xdr:cNvPr id="143517" name="직선 화살표 연결선 143516">
          <a:extLst>
            <a:ext uri="{FF2B5EF4-FFF2-40B4-BE49-F238E27FC236}">
              <a16:creationId xmlns:a16="http://schemas.microsoft.com/office/drawing/2014/main" id="{00000000-0008-0000-0100-00009D300200}"/>
            </a:ext>
          </a:extLst>
        </xdr:cNvPr>
        <xdr:cNvCxnSpPr/>
      </xdr:nvCxnSpPr>
      <xdr:spPr>
        <a:xfrm>
          <a:off x="19103094" y="139979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738894</xdr:colOff>
      <xdr:row>89</xdr:row>
      <xdr:rowOff>19049</xdr:rowOff>
    </xdr:from>
    <xdr:to>
      <xdr:col>34</xdr:col>
      <xdr:colOff>1232760</xdr:colOff>
      <xdr:row>89</xdr:row>
      <xdr:rowOff>133349</xdr:rowOff>
    </xdr:to>
    <xdr:sp macro="" textlink="">
      <xdr:nvSpPr>
        <xdr:cNvPr id="143518" name="86">
          <a:extLst>
            <a:ext uri="{FF2B5EF4-FFF2-40B4-BE49-F238E27FC236}">
              <a16:creationId xmlns:a16="http://schemas.microsoft.com/office/drawing/2014/main" id="{00000000-0008-0000-0100-00009E300200}"/>
            </a:ext>
          </a:extLst>
        </xdr:cNvPr>
        <xdr:cNvSpPr/>
      </xdr:nvSpPr>
      <xdr:spPr>
        <a:xfrm>
          <a:off x="19103094" y="13788389"/>
          <a:ext cx="4938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738894</xdr:colOff>
      <xdr:row>89</xdr:row>
      <xdr:rowOff>76199</xdr:rowOff>
    </xdr:from>
    <xdr:to>
      <xdr:col>34</xdr:col>
      <xdr:colOff>738894</xdr:colOff>
      <xdr:row>89</xdr:row>
      <xdr:rowOff>76199</xdr:rowOff>
    </xdr:to>
    <xdr:cxnSp macro="">
      <xdr:nvCxnSpPr>
        <xdr:cNvPr id="143519" name="직선 화살표 연결선 143518">
          <a:extLst>
            <a:ext uri="{FF2B5EF4-FFF2-40B4-BE49-F238E27FC236}">
              <a16:creationId xmlns:a16="http://schemas.microsoft.com/office/drawing/2014/main" id="{00000000-0008-0000-0100-00009F300200}"/>
            </a:ext>
          </a:extLst>
        </xdr:cNvPr>
        <xdr:cNvCxnSpPr/>
      </xdr:nvCxnSpPr>
      <xdr:spPr>
        <a:xfrm>
          <a:off x="19103094" y="138455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738894</xdr:colOff>
      <xdr:row>88</xdr:row>
      <xdr:rowOff>19049</xdr:rowOff>
    </xdr:from>
    <xdr:to>
      <xdr:col>34</xdr:col>
      <xdr:colOff>1232760</xdr:colOff>
      <xdr:row>88</xdr:row>
      <xdr:rowOff>133349</xdr:rowOff>
    </xdr:to>
    <xdr:sp macro="" textlink="">
      <xdr:nvSpPr>
        <xdr:cNvPr id="143520" name="85">
          <a:extLst>
            <a:ext uri="{FF2B5EF4-FFF2-40B4-BE49-F238E27FC236}">
              <a16:creationId xmlns:a16="http://schemas.microsoft.com/office/drawing/2014/main" id="{00000000-0008-0000-0100-0000A0300200}"/>
            </a:ext>
          </a:extLst>
        </xdr:cNvPr>
        <xdr:cNvSpPr/>
      </xdr:nvSpPr>
      <xdr:spPr>
        <a:xfrm>
          <a:off x="19103094" y="13635989"/>
          <a:ext cx="4938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738894</xdr:colOff>
      <xdr:row>88</xdr:row>
      <xdr:rowOff>76199</xdr:rowOff>
    </xdr:from>
    <xdr:to>
      <xdr:col>34</xdr:col>
      <xdr:colOff>738894</xdr:colOff>
      <xdr:row>88</xdr:row>
      <xdr:rowOff>76199</xdr:rowOff>
    </xdr:to>
    <xdr:cxnSp macro="">
      <xdr:nvCxnSpPr>
        <xdr:cNvPr id="143521" name="직선 화살표 연결선 143520">
          <a:extLst>
            <a:ext uri="{FF2B5EF4-FFF2-40B4-BE49-F238E27FC236}">
              <a16:creationId xmlns:a16="http://schemas.microsoft.com/office/drawing/2014/main" id="{00000000-0008-0000-0100-0000A1300200}"/>
            </a:ext>
          </a:extLst>
        </xdr:cNvPr>
        <xdr:cNvCxnSpPr/>
      </xdr:nvCxnSpPr>
      <xdr:spPr>
        <a:xfrm>
          <a:off x="19103094" y="136931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738894</xdr:colOff>
      <xdr:row>87</xdr:row>
      <xdr:rowOff>19049</xdr:rowOff>
    </xdr:from>
    <xdr:to>
      <xdr:col>34</xdr:col>
      <xdr:colOff>1232760</xdr:colOff>
      <xdr:row>87</xdr:row>
      <xdr:rowOff>133349</xdr:rowOff>
    </xdr:to>
    <xdr:sp macro="" textlink="">
      <xdr:nvSpPr>
        <xdr:cNvPr id="143522" name="84">
          <a:extLst>
            <a:ext uri="{FF2B5EF4-FFF2-40B4-BE49-F238E27FC236}">
              <a16:creationId xmlns:a16="http://schemas.microsoft.com/office/drawing/2014/main" id="{00000000-0008-0000-0100-0000A2300200}"/>
            </a:ext>
          </a:extLst>
        </xdr:cNvPr>
        <xdr:cNvSpPr/>
      </xdr:nvSpPr>
      <xdr:spPr>
        <a:xfrm>
          <a:off x="19103094" y="13483589"/>
          <a:ext cx="4938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738894</xdr:colOff>
      <xdr:row>87</xdr:row>
      <xdr:rowOff>76199</xdr:rowOff>
    </xdr:from>
    <xdr:to>
      <xdr:col>34</xdr:col>
      <xdr:colOff>738894</xdr:colOff>
      <xdr:row>87</xdr:row>
      <xdr:rowOff>76199</xdr:rowOff>
    </xdr:to>
    <xdr:cxnSp macro="">
      <xdr:nvCxnSpPr>
        <xdr:cNvPr id="143523" name="직선 화살표 연결선 143522">
          <a:extLst>
            <a:ext uri="{FF2B5EF4-FFF2-40B4-BE49-F238E27FC236}">
              <a16:creationId xmlns:a16="http://schemas.microsoft.com/office/drawing/2014/main" id="{00000000-0008-0000-0100-0000A3300200}"/>
            </a:ext>
          </a:extLst>
        </xdr:cNvPr>
        <xdr:cNvCxnSpPr/>
      </xdr:nvCxnSpPr>
      <xdr:spPr>
        <a:xfrm>
          <a:off x="19103094" y="135407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738894</xdr:colOff>
      <xdr:row>86</xdr:row>
      <xdr:rowOff>19049</xdr:rowOff>
    </xdr:from>
    <xdr:to>
      <xdr:col>34</xdr:col>
      <xdr:colOff>1232760</xdr:colOff>
      <xdr:row>86</xdr:row>
      <xdr:rowOff>133349</xdr:rowOff>
    </xdr:to>
    <xdr:sp macro="" textlink="">
      <xdr:nvSpPr>
        <xdr:cNvPr id="143524" name="83">
          <a:extLst>
            <a:ext uri="{FF2B5EF4-FFF2-40B4-BE49-F238E27FC236}">
              <a16:creationId xmlns:a16="http://schemas.microsoft.com/office/drawing/2014/main" id="{00000000-0008-0000-0100-0000A4300200}"/>
            </a:ext>
          </a:extLst>
        </xdr:cNvPr>
        <xdr:cNvSpPr/>
      </xdr:nvSpPr>
      <xdr:spPr>
        <a:xfrm>
          <a:off x="19103094" y="13331189"/>
          <a:ext cx="4938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738894</xdr:colOff>
      <xdr:row>86</xdr:row>
      <xdr:rowOff>76199</xdr:rowOff>
    </xdr:from>
    <xdr:to>
      <xdr:col>34</xdr:col>
      <xdr:colOff>738894</xdr:colOff>
      <xdr:row>86</xdr:row>
      <xdr:rowOff>76199</xdr:rowOff>
    </xdr:to>
    <xdr:cxnSp macro="">
      <xdr:nvCxnSpPr>
        <xdr:cNvPr id="143525" name="직선 화살표 연결선 143524">
          <a:extLst>
            <a:ext uri="{FF2B5EF4-FFF2-40B4-BE49-F238E27FC236}">
              <a16:creationId xmlns:a16="http://schemas.microsoft.com/office/drawing/2014/main" id="{00000000-0008-0000-0100-0000A5300200}"/>
            </a:ext>
          </a:extLst>
        </xdr:cNvPr>
        <xdr:cNvCxnSpPr/>
      </xdr:nvCxnSpPr>
      <xdr:spPr>
        <a:xfrm>
          <a:off x="19103094" y="133883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738894</xdr:colOff>
      <xdr:row>85</xdr:row>
      <xdr:rowOff>19049</xdr:rowOff>
    </xdr:from>
    <xdr:to>
      <xdr:col>34</xdr:col>
      <xdr:colOff>1232760</xdr:colOff>
      <xdr:row>85</xdr:row>
      <xdr:rowOff>133349</xdr:rowOff>
    </xdr:to>
    <xdr:sp macro="" textlink="">
      <xdr:nvSpPr>
        <xdr:cNvPr id="143526" name="82">
          <a:extLst>
            <a:ext uri="{FF2B5EF4-FFF2-40B4-BE49-F238E27FC236}">
              <a16:creationId xmlns:a16="http://schemas.microsoft.com/office/drawing/2014/main" id="{00000000-0008-0000-0100-0000A6300200}"/>
            </a:ext>
          </a:extLst>
        </xdr:cNvPr>
        <xdr:cNvSpPr/>
      </xdr:nvSpPr>
      <xdr:spPr>
        <a:xfrm>
          <a:off x="19103094" y="13178789"/>
          <a:ext cx="4938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738894</xdr:colOff>
      <xdr:row>85</xdr:row>
      <xdr:rowOff>76199</xdr:rowOff>
    </xdr:from>
    <xdr:to>
      <xdr:col>34</xdr:col>
      <xdr:colOff>738894</xdr:colOff>
      <xdr:row>85</xdr:row>
      <xdr:rowOff>76199</xdr:rowOff>
    </xdr:to>
    <xdr:cxnSp macro="">
      <xdr:nvCxnSpPr>
        <xdr:cNvPr id="143527" name="직선 화살표 연결선 143526">
          <a:extLst>
            <a:ext uri="{FF2B5EF4-FFF2-40B4-BE49-F238E27FC236}">
              <a16:creationId xmlns:a16="http://schemas.microsoft.com/office/drawing/2014/main" id="{00000000-0008-0000-0100-0000A7300200}"/>
            </a:ext>
          </a:extLst>
        </xdr:cNvPr>
        <xdr:cNvCxnSpPr/>
      </xdr:nvCxnSpPr>
      <xdr:spPr>
        <a:xfrm>
          <a:off x="19103094" y="132359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451546</xdr:colOff>
      <xdr:row>84</xdr:row>
      <xdr:rowOff>19049</xdr:rowOff>
    </xdr:from>
    <xdr:to>
      <xdr:col>34</xdr:col>
      <xdr:colOff>740164</xdr:colOff>
      <xdr:row>84</xdr:row>
      <xdr:rowOff>133349</xdr:rowOff>
    </xdr:to>
    <xdr:sp macro="" textlink="">
      <xdr:nvSpPr>
        <xdr:cNvPr id="143528" name="81">
          <a:extLst>
            <a:ext uri="{FF2B5EF4-FFF2-40B4-BE49-F238E27FC236}">
              <a16:creationId xmlns:a16="http://schemas.microsoft.com/office/drawing/2014/main" id="{00000000-0008-0000-0100-0000A8300200}"/>
            </a:ext>
          </a:extLst>
        </xdr:cNvPr>
        <xdr:cNvSpPr/>
      </xdr:nvSpPr>
      <xdr:spPr>
        <a:xfrm>
          <a:off x="18815746" y="13026389"/>
          <a:ext cx="28861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451546</xdr:colOff>
      <xdr:row>84</xdr:row>
      <xdr:rowOff>76199</xdr:rowOff>
    </xdr:from>
    <xdr:to>
      <xdr:col>34</xdr:col>
      <xdr:colOff>451546</xdr:colOff>
      <xdr:row>84</xdr:row>
      <xdr:rowOff>76199</xdr:rowOff>
    </xdr:to>
    <xdr:cxnSp macro="">
      <xdr:nvCxnSpPr>
        <xdr:cNvPr id="143529" name="직선 화살표 연결선 143528">
          <a:extLst>
            <a:ext uri="{FF2B5EF4-FFF2-40B4-BE49-F238E27FC236}">
              <a16:creationId xmlns:a16="http://schemas.microsoft.com/office/drawing/2014/main" id="{00000000-0008-0000-0100-0000A9300200}"/>
            </a:ext>
          </a:extLst>
        </xdr:cNvPr>
        <xdr:cNvCxnSpPr/>
      </xdr:nvCxnSpPr>
      <xdr:spPr>
        <a:xfrm>
          <a:off x="18815746" y="130835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451546</xdr:colOff>
      <xdr:row>83</xdr:row>
      <xdr:rowOff>19050</xdr:rowOff>
    </xdr:from>
    <xdr:to>
      <xdr:col>34</xdr:col>
      <xdr:colOff>1232760</xdr:colOff>
      <xdr:row>83</xdr:row>
      <xdr:rowOff>133350</xdr:rowOff>
    </xdr:to>
    <xdr:sp macro="" textlink="">
      <xdr:nvSpPr>
        <xdr:cNvPr id="143530" name="80">
          <a:extLst>
            <a:ext uri="{FF2B5EF4-FFF2-40B4-BE49-F238E27FC236}">
              <a16:creationId xmlns:a16="http://schemas.microsoft.com/office/drawing/2014/main" id="{00000000-0008-0000-0100-0000AA300200}"/>
            </a:ext>
          </a:extLst>
        </xdr:cNvPr>
        <xdr:cNvSpPr/>
      </xdr:nvSpPr>
      <xdr:spPr>
        <a:xfrm>
          <a:off x="18815746" y="12873990"/>
          <a:ext cx="78121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451546</xdr:colOff>
      <xdr:row>83</xdr:row>
      <xdr:rowOff>76200</xdr:rowOff>
    </xdr:from>
    <xdr:to>
      <xdr:col>34</xdr:col>
      <xdr:colOff>451546</xdr:colOff>
      <xdr:row>83</xdr:row>
      <xdr:rowOff>76200</xdr:rowOff>
    </xdr:to>
    <xdr:cxnSp macro="">
      <xdr:nvCxnSpPr>
        <xdr:cNvPr id="143531" name="직선 화살표 연결선 143530">
          <a:extLst>
            <a:ext uri="{FF2B5EF4-FFF2-40B4-BE49-F238E27FC236}">
              <a16:creationId xmlns:a16="http://schemas.microsoft.com/office/drawing/2014/main" id="{00000000-0008-0000-0100-0000AB300200}"/>
            </a:ext>
          </a:extLst>
        </xdr:cNvPr>
        <xdr:cNvCxnSpPr/>
      </xdr:nvCxnSpPr>
      <xdr:spPr>
        <a:xfrm>
          <a:off x="18815746" y="1293114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848360</xdr:colOff>
      <xdr:row>82</xdr:row>
      <xdr:rowOff>19050</xdr:rowOff>
    </xdr:from>
    <xdr:to>
      <xdr:col>34</xdr:col>
      <xdr:colOff>83369</xdr:colOff>
      <xdr:row>82</xdr:row>
      <xdr:rowOff>133350</xdr:rowOff>
    </xdr:to>
    <xdr:sp macro="" textlink="">
      <xdr:nvSpPr>
        <xdr:cNvPr id="143532" name="79">
          <a:extLst>
            <a:ext uri="{FF2B5EF4-FFF2-40B4-BE49-F238E27FC236}">
              <a16:creationId xmlns:a16="http://schemas.microsoft.com/office/drawing/2014/main" id="{00000000-0008-0000-0100-0000AC300200}"/>
            </a:ext>
          </a:extLst>
        </xdr:cNvPr>
        <xdr:cNvSpPr/>
      </xdr:nvSpPr>
      <xdr:spPr>
        <a:xfrm>
          <a:off x="17940020" y="12721590"/>
          <a:ext cx="5075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848360</xdr:colOff>
      <xdr:row>82</xdr:row>
      <xdr:rowOff>76200</xdr:rowOff>
    </xdr:from>
    <xdr:to>
      <xdr:col>33</xdr:col>
      <xdr:colOff>848360</xdr:colOff>
      <xdr:row>82</xdr:row>
      <xdr:rowOff>76200</xdr:rowOff>
    </xdr:to>
    <xdr:cxnSp macro="">
      <xdr:nvCxnSpPr>
        <xdr:cNvPr id="143533" name="직선 화살표 연결선 143532">
          <a:extLst>
            <a:ext uri="{FF2B5EF4-FFF2-40B4-BE49-F238E27FC236}">
              <a16:creationId xmlns:a16="http://schemas.microsoft.com/office/drawing/2014/main" id="{00000000-0008-0000-0100-0000AD300200}"/>
            </a:ext>
          </a:extLst>
        </xdr:cNvPr>
        <xdr:cNvCxnSpPr/>
      </xdr:nvCxnSpPr>
      <xdr:spPr>
        <a:xfrm>
          <a:off x="17940020" y="1277874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848360</xdr:colOff>
      <xdr:row>81</xdr:row>
      <xdr:rowOff>19050</xdr:rowOff>
    </xdr:from>
    <xdr:to>
      <xdr:col>34</xdr:col>
      <xdr:colOff>83369</xdr:colOff>
      <xdr:row>81</xdr:row>
      <xdr:rowOff>133350</xdr:rowOff>
    </xdr:to>
    <xdr:sp macro="" textlink="">
      <xdr:nvSpPr>
        <xdr:cNvPr id="143534" name="78">
          <a:extLst>
            <a:ext uri="{FF2B5EF4-FFF2-40B4-BE49-F238E27FC236}">
              <a16:creationId xmlns:a16="http://schemas.microsoft.com/office/drawing/2014/main" id="{00000000-0008-0000-0100-0000AE300200}"/>
            </a:ext>
          </a:extLst>
        </xdr:cNvPr>
        <xdr:cNvSpPr/>
      </xdr:nvSpPr>
      <xdr:spPr>
        <a:xfrm>
          <a:off x="17940020" y="12569190"/>
          <a:ext cx="5075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848360</xdr:colOff>
      <xdr:row>81</xdr:row>
      <xdr:rowOff>76200</xdr:rowOff>
    </xdr:from>
    <xdr:to>
      <xdr:col>33</xdr:col>
      <xdr:colOff>848360</xdr:colOff>
      <xdr:row>81</xdr:row>
      <xdr:rowOff>76200</xdr:rowOff>
    </xdr:to>
    <xdr:cxnSp macro="">
      <xdr:nvCxnSpPr>
        <xdr:cNvPr id="143535" name="직선 화살표 연결선 143534">
          <a:extLst>
            <a:ext uri="{FF2B5EF4-FFF2-40B4-BE49-F238E27FC236}">
              <a16:creationId xmlns:a16="http://schemas.microsoft.com/office/drawing/2014/main" id="{00000000-0008-0000-0100-0000AF300200}"/>
            </a:ext>
          </a:extLst>
        </xdr:cNvPr>
        <xdr:cNvCxnSpPr/>
      </xdr:nvCxnSpPr>
      <xdr:spPr>
        <a:xfrm>
          <a:off x="17940020" y="1262634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1145286</xdr:colOff>
      <xdr:row>80</xdr:row>
      <xdr:rowOff>19050</xdr:rowOff>
    </xdr:from>
    <xdr:to>
      <xdr:col>34</xdr:col>
      <xdr:colOff>83369</xdr:colOff>
      <xdr:row>80</xdr:row>
      <xdr:rowOff>133350</xdr:rowOff>
    </xdr:to>
    <xdr:sp macro="" textlink="">
      <xdr:nvSpPr>
        <xdr:cNvPr id="143536" name="77">
          <a:extLst>
            <a:ext uri="{FF2B5EF4-FFF2-40B4-BE49-F238E27FC236}">
              <a16:creationId xmlns:a16="http://schemas.microsoft.com/office/drawing/2014/main" id="{00000000-0008-0000-0100-0000B0300200}"/>
            </a:ext>
          </a:extLst>
        </xdr:cNvPr>
        <xdr:cNvSpPr/>
      </xdr:nvSpPr>
      <xdr:spPr>
        <a:xfrm>
          <a:off x="18236946" y="12416790"/>
          <a:ext cx="2106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1145286</xdr:colOff>
      <xdr:row>80</xdr:row>
      <xdr:rowOff>76200</xdr:rowOff>
    </xdr:from>
    <xdr:to>
      <xdr:col>33</xdr:col>
      <xdr:colOff>1145286</xdr:colOff>
      <xdr:row>80</xdr:row>
      <xdr:rowOff>76200</xdr:rowOff>
    </xdr:to>
    <xdr:cxnSp macro="">
      <xdr:nvCxnSpPr>
        <xdr:cNvPr id="143537" name="직선 화살표 연결선 143536">
          <a:extLst>
            <a:ext uri="{FF2B5EF4-FFF2-40B4-BE49-F238E27FC236}">
              <a16:creationId xmlns:a16="http://schemas.microsoft.com/office/drawing/2014/main" id="{00000000-0008-0000-0100-0000B1300200}"/>
            </a:ext>
          </a:extLst>
        </xdr:cNvPr>
        <xdr:cNvCxnSpPr/>
      </xdr:nvCxnSpPr>
      <xdr:spPr>
        <a:xfrm>
          <a:off x="18236946" y="1247394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848360</xdr:colOff>
      <xdr:row>79</xdr:row>
      <xdr:rowOff>19050</xdr:rowOff>
    </xdr:from>
    <xdr:to>
      <xdr:col>34</xdr:col>
      <xdr:colOff>83369</xdr:colOff>
      <xdr:row>79</xdr:row>
      <xdr:rowOff>133350</xdr:rowOff>
    </xdr:to>
    <xdr:sp macro="" textlink="">
      <xdr:nvSpPr>
        <xdr:cNvPr id="143538" name="76">
          <a:extLst>
            <a:ext uri="{FF2B5EF4-FFF2-40B4-BE49-F238E27FC236}">
              <a16:creationId xmlns:a16="http://schemas.microsoft.com/office/drawing/2014/main" id="{00000000-0008-0000-0100-0000B2300200}"/>
            </a:ext>
          </a:extLst>
        </xdr:cNvPr>
        <xdr:cNvSpPr/>
      </xdr:nvSpPr>
      <xdr:spPr>
        <a:xfrm>
          <a:off x="17940020" y="12264390"/>
          <a:ext cx="50754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848360</xdr:colOff>
      <xdr:row>79</xdr:row>
      <xdr:rowOff>76200</xdr:rowOff>
    </xdr:from>
    <xdr:to>
      <xdr:col>33</xdr:col>
      <xdr:colOff>848360</xdr:colOff>
      <xdr:row>79</xdr:row>
      <xdr:rowOff>76200</xdr:rowOff>
    </xdr:to>
    <xdr:cxnSp macro="">
      <xdr:nvCxnSpPr>
        <xdr:cNvPr id="143539" name="직선 화살표 연결선 143538">
          <a:extLst>
            <a:ext uri="{FF2B5EF4-FFF2-40B4-BE49-F238E27FC236}">
              <a16:creationId xmlns:a16="http://schemas.microsoft.com/office/drawing/2014/main" id="{00000000-0008-0000-0100-0000B3300200}"/>
            </a:ext>
          </a:extLst>
        </xdr:cNvPr>
        <xdr:cNvCxnSpPr/>
      </xdr:nvCxnSpPr>
      <xdr:spPr>
        <a:xfrm>
          <a:off x="17940020" y="1232154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451546</xdr:colOff>
      <xdr:row>78</xdr:row>
      <xdr:rowOff>19050</xdr:rowOff>
    </xdr:from>
    <xdr:to>
      <xdr:col>34</xdr:col>
      <xdr:colOff>658065</xdr:colOff>
      <xdr:row>78</xdr:row>
      <xdr:rowOff>133350</xdr:rowOff>
    </xdr:to>
    <xdr:sp macro="" textlink="">
      <xdr:nvSpPr>
        <xdr:cNvPr id="143540" name="75">
          <a:extLst>
            <a:ext uri="{FF2B5EF4-FFF2-40B4-BE49-F238E27FC236}">
              <a16:creationId xmlns:a16="http://schemas.microsoft.com/office/drawing/2014/main" id="{00000000-0008-0000-0100-0000B4300200}"/>
            </a:ext>
          </a:extLst>
        </xdr:cNvPr>
        <xdr:cNvSpPr/>
      </xdr:nvSpPr>
      <xdr:spPr>
        <a:xfrm>
          <a:off x="18815746" y="12111990"/>
          <a:ext cx="2065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451546</xdr:colOff>
      <xdr:row>78</xdr:row>
      <xdr:rowOff>76200</xdr:rowOff>
    </xdr:from>
    <xdr:to>
      <xdr:col>34</xdr:col>
      <xdr:colOff>451546</xdr:colOff>
      <xdr:row>78</xdr:row>
      <xdr:rowOff>76200</xdr:rowOff>
    </xdr:to>
    <xdr:cxnSp macro="">
      <xdr:nvCxnSpPr>
        <xdr:cNvPr id="143541" name="직선 화살표 연결선 143540">
          <a:extLst>
            <a:ext uri="{FF2B5EF4-FFF2-40B4-BE49-F238E27FC236}">
              <a16:creationId xmlns:a16="http://schemas.microsoft.com/office/drawing/2014/main" id="{00000000-0008-0000-0100-0000B5300200}"/>
            </a:ext>
          </a:extLst>
        </xdr:cNvPr>
        <xdr:cNvCxnSpPr/>
      </xdr:nvCxnSpPr>
      <xdr:spPr>
        <a:xfrm>
          <a:off x="18815746" y="1216914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451546</xdr:colOff>
      <xdr:row>77</xdr:row>
      <xdr:rowOff>19050</xdr:rowOff>
    </xdr:from>
    <xdr:to>
      <xdr:col>34</xdr:col>
      <xdr:colOff>658065</xdr:colOff>
      <xdr:row>77</xdr:row>
      <xdr:rowOff>133350</xdr:rowOff>
    </xdr:to>
    <xdr:sp macro="" textlink="">
      <xdr:nvSpPr>
        <xdr:cNvPr id="143542" name="74">
          <a:extLst>
            <a:ext uri="{FF2B5EF4-FFF2-40B4-BE49-F238E27FC236}">
              <a16:creationId xmlns:a16="http://schemas.microsoft.com/office/drawing/2014/main" id="{00000000-0008-0000-0100-0000B6300200}"/>
            </a:ext>
          </a:extLst>
        </xdr:cNvPr>
        <xdr:cNvSpPr/>
      </xdr:nvSpPr>
      <xdr:spPr>
        <a:xfrm>
          <a:off x="18815746" y="11959590"/>
          <a:ext cx="2065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451546</xdr:colOff>
      <xdr:row>77</xdr:row>
      <xdr:rowOff>76200</xdr:rowOff>
    </xdr:from>
    <xdr:to>
      <xdr:col>34</xdr:col>
      <xdr:colOff>451546</xdr:colOff>
      <xdr:row>77</xdr:row>
      <xdr:rowOff>76200</xdr:rowOff>
    </xdr:to>
    <xdr:cxnSp macro="">
      <xdr:nvCxnSpPr>
        <xdr:cNvPr id="143543" name="직선 화살표 연결선 143542">
          <a:extLst>
            <a:ext uri="{FF2B5EF4-FFF2-40B4-BE49-F238E27FC236}">
              <a16:creationId xmlns:a16="http://schemas.microsoft.com/office/drawing/2014/main" id="{00000000-0008-0000-0100-0000B7300200}"/>
            </a:ext>
          </a:extLst>
        </xdr:cNvPr>
        <xdr:cNvCxnSpPr/>
      </xdr:nvCxnSpPr>
      <xdr:spPr>
        <a:xfrm>
          <a:off x="18815746" y="1201674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551434</xdr:colOff>
      <xdr:row>76</xdr:row>
      <xdr:rowOff>19050</xdr:rowOff>
    </xdr:from>
    <xdr:to>
      <xdr:col>33</xdr:col>
      <xdr:colOff>1061720</xdr:colOff>
      <xdr:row>76</xdr:row>
      <xdr:rowOff>133350</xdr:rowOff>
    </xdr:to>
    <xdr:sp macro="" textlink="">
      <xdr:nvSpPr>
        <xdr:cNvPr id="143544" name="73">
          <a:extLst>
            <a:ext uri="{FF2B5EF4-FFF2-40B4-BE49-F238E27FC236}">
              <a16:creationId xmlns:a16="http://schemas.microsoft.com/office/drawing/2014/main" id="{00000000-0008-0000-0100-0000B8300200}"/>
            </a:ext>
          </a:extLst>
        </xdr:cNvPr>
        <xdr:cNvSpPr/>
      </xdr:nvSpPr>
      <xdr:spPr>
        <a:xfrm>
          <a:off x="17643094" y="11807190"/>
          <a:ext cx="51028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1231490</xdr:colOff>
      <xdr:row>76</xdr:row>
      <xdr:rowOff>76200</xdr:rowOff>
    </xdr:from>
    <xdr:to>
      <xdr:col>33</xdr:col>
      <xdr:colOff>212775</xdr:colOff>
      <xdr:row>76</xdr:row>
      <xdr:rowOff>76200</xdr:rowOff>
    </xdr:to>
    <xdr:cxnSp macro="">
      <xdr:nvCxnSpPr>
        <xdr:cNvPr id="143545" name="직선 화살표 연결선 143544">
          <a:extLst>
            <a:ext uri="{FF2B5EF4-FFF2-40B4-BE49-F238E27FC236}">
              <a16:creationId xmlns:a16="http://schemas.microsoft.com/office/drawing/2014/main" id="{00000000-0008-0000-0100-0000B9300200}"/>
            </a:ext>
          </a:extLst>
        </xdr:cNvPr>
        <xdr:cNvCxnSpPr/>
      </xdr:nvCxnSpPr>
      <xdr:spPr>
        <a:xfrm>
          <a:off x="17050610" y="11864340"/>
          <a:ext cx="253825" cy="0"/>
        </a:xfrm>
        <a:prstGeom prst="straightConnector1">
          <a:avLst/>
        </a:prstGeom>
        <a:ln w="31750" cap="flat" cmpd="sng" algn="ctr">
          <a:solidFill>
            <a:srgbClr val="00CC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551434</xdr:colOff>
      <xdr:row>75</xdr:row>
      <xdr:rowOff>19050</xdr:rowOff>
    </xdr:from>
    <xdr:to>
      <xdr:col>33</xdr:col>
      <xdr:colOff>1061720</xdr:colOff>
      <xdr:row>75</xdr:row>
      <xdr:rowOff>133350</xdr:rowOff>
    </xdr:to>
    <xdr:sp macro="" textlink="">
      <xdr:nvSpPr>
        <xdr:cNvPr id="143546" name="72">
          <a:extLst>
            <a:ext uri="{FF2B5EF4-FFF2-40B4-BE49-F238E27FC236}">
              <a16:creationId xmlns:a16="http://schemas.microsoft.com/office/drawing/2014/main" id="{00000000-0008-0000-0100-0000BA300200}"/>
            </a:ext>
          </a:extLst>
        </xdr:cNvPr>
        <xdr:cNvSpPr/>
      </xdr:nvSpPr>
      <xdr:spPr>
        <a:xfrm>
          <a:off x="17643094" y="11654790"/>
          <a:ext cx="51028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1231490</xdr:colOff>
      <xdr:row>75</xdr:row>
      <xdr:rowOff>76200</xdr:rowOff>
    </xdr:from>
    <xdr:to>
      <xdr:col>33</xdr:col>
      <xdr:colOff>212775</xdr:colOff>
      <xdr:row>75</xdr:row>
      <xdr:rowOff>76200</xdr:rowOff>
    </xdr:to>
    <xdr:cxnSp macro="">
      <xdr:nvCxnSpPr>
        <xdr:cNvPr id="143547" name="직선 화살표 연결선 143546">
          <a:extLst>
            <a:ext uri="{FF2B5EF4-FFF2-40B4-BE49-F238E27FC236}">
              <a16:creationId xmlns:a16="http://schemas.microsoft.com/office/drawing/2014/main" id="{00000000-0008-0000-0100-0000BB300200}"/>
            </a:ext>
          </a:extLst>
        </xdr:cNvPr>
        <xdr:cNvCxnSpPr/>
      </xdr:nvCxnSpPr>
      <xdr:spPr>
        <a:xfrm>
          <a:off x="17050610" y="11711940"/>
          <a:ext cx="253825" cy="0"/>
        </a:xfrm>
        <a:prstGeom prst="straightConnector1">
          <a:avLst/>
        </a:prstGeom>
        <a:ln w="31750" cap="flat" cmpd="sng" algn="ctr">
          <a:solidFill>
            <a:srgbClr val="00CC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551434</xdr:colOff>
      <xdr:row>74</xdr:row>
      <xdr:rowOff>19050</xdr:rowOff>
    </xdr:from>
    <xdr:to>
      <xdr:col>34</xdr:col>
      <xdr:colOff>658065</xdr:colOff>
      <xdr:row>74</xdr:row>
      <xdr:rowOff>133350</xdr:rowOff>
    </xdr:to>
    <xdr:sp macro="" textlink="">
      <xdr:nvSpPr>
        <xdr:cNvPr id="143548" name="71">
          <a:extLst>
            <a:ext uri="{FF2B5EF4-FFF2-40B4-BE49-F238E27FC236}">
              <a16:creationId xmlns:a16="http://schemas.microsoft.com/office/drawing/2014/main" id="{00000000-0008-0000-0100-0000BC300200}"/>
            </a:ext>
          </a:extLst>
        </xdr:cNvPr>
        <xdr:cNvSpPr/>
      </xdr:nvSpPr>
      <xdr:spPr>
        <a:xfrm>
          <a:off x="17643094" y="11502390"/>
          <a:ext cx="137917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1231490</xdr:colOff>
      <xdr:row>74</xdr:row>
      <xdr:rowOff>76200</xdr:rowOff>
    </xdr:from>
    <xdr:to>
      <xdr:col>33</xdr:col>
      <xdr:colOff>424179</xdr:colOff>
      <xdr:row>74</xdr:row>
      <xdr:rowOff>76200</xdr:rowOff>
    </xdr:to>
    <xdr:cxnSp macro="">
      <xdr:nvCxnSpPr>
        <xdr:cNvPr id="143549" name="직선 화살표 연결선 143548">
          <a:extLst>
            <a:ext uri="{FF2B5EF4-FFF2-40B4-BE49-F238E27FC236}">
              <a16:creationId xmlns:a16="http://schemas.microsoft.com/office/drawing/2014/main" id="{00000000-0008-0000-0100-0000BD300200}"/>
            </a:ext>
          </a:extLst>
        </xdr:cNvPr>
        <xdr:cNvCxnSpPr/>
      </xdr:nvCxnSpPr>
      <xdr:spPr>
        <a:xfrm>
          <a:off x="17050610" y="11559540"/>
          <a:ext cx="465229" cy="0"/>
        </a:xfrm>
        <a:prstGeom prst="straightConnector1">
          <a:avLst/>
        </a:prstGeom>
        <a:ln w="31750" cap="flat" cmpd="sng" algn="ctr">
          <a:solidFill>
            <a:srgbClr val="00CC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164199</xdr:colOff>
      <xdr:row>73</xdr:row>
      <xdr:rowOff>19050</xdr:rowOff>
    </xdr:from>
    <xdr:to>
      <xdr:col>34</xdr:col>
      <xdr:colOff>370717</xdr:colOff>
      <xdr:row>73</xdr:row>
      <xdr:rowOff>133350</xdr:rowOff>
    </xdr:to>
    <xdr:sp macro="" textlink="">
      <xdr:nvSpPr>
        <xdr:cNvPr id="143550" name="70">
          <a:extLst>
            <a:ext uri="{FF2B5EF4-FFF2-40B4-BE49-F238E27FC236}">
              <a16:creationId xmlns:a16="http://schemas.microsoft.com/office/drawing/2014/main" id="{00000000-0008-0000-0100-0000BE300200}"/>
            </a:ext>
          </a:extLst>
        </xdr:cNvPr>
        <xdr:cNvSpPr/>
      </xdr:nvSpPr>
      <xdr:spPr>
        <a:xfrm>
          <a:off x="18528399" y="11349990"/>
          <a:ext cx="20651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164199</xdr:colOff>
      <xdr:row>73</xdr:row>
      <xdr:rowOff>76200</xdr:rowOff>
    </xdr:from>
    <xdr:to>
      <xdr:col>34</xdr:col>
      <xdr:colOff>164199</xdr:colOff>
      <xdr:row>73</xdr:row>
      <xdr:rowOff>76200</xdr:rowOff>
    </xdr:to>
    <xdr:cxnSp macro="">
      <xdr:nvCxnSpPr>
        <xdr:cNvPr id="143551" name="직선 화살표 연결선 143550">
          <a:extLst>
            <a:ext uri="{FF2B5EF4-FFF2-40B4-BE49-F238E27FC236}">
              <a16:creationId xmlns:a16="http://schemas.microsoft.com/office/drawing/2014/main" id="{00000000-0008-0000-0100-0000BF300200}"/>
            </a:ext>
          </a:extLst>
        </xdr:cNvPr>
        <xdr:cNvCxnSpPr/>
      </xdr:nvCxnSpPr>
      <xdr:spPr>
        <a:xfrm>
          <a:off x="18528399" y="1140714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164199</xdr:colOff>
      <xdr:row>72</xdr:row>
      <xdr:rowOff>19050</xdr:rowOff>
    </xdr:from>
    <xdr:to>
      <xdr:col>34</xdr:col>
      <xdr:colOff>370717</xdr:colOff>
      <xdr:row>72</xdr:row>
      <xdr:rowOff>133350</xdr:rowOff>
    </xdr:to>
    <xdr:sp macro="" textlink="">
      <xdr:nvSpPr>
        <xdr:cNvPr id="143552" name="69">
          <a:extLst>
            <a:ext uri="{FF2B5EF4-FFF2-40B4-BE49-F238E27FC236}">
              <a16:creationId xmlns:a16="http://schemas.microsoft.com/office/drawing/2014/main" id="{00000000-0008-0000-0100-0000C0300200}"/>
            </a:ext>
          </a:extLst>
        </xdr:cNvPr>
        <xdr:cNvSpPr/>
      </xdr:nvSpPr>
      <xdr:spPr>
        <a:xfrm>
          <a:off x="18528399" y="11197590"/>
          <a:ext cx="20651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164199</xdr:colOff>
      <xdr:row>72</xdr:row>
      <xdr:rowOff>76200</xdr:rowOff>
    </xdr:from>
    <xdr:to>
      <xdr:col>34</xdr:col>
      <xdr:colOff>164199</xdr:colOff>
      <xdr:row>72</xdr:row>
      <xdr:rowOff>76200</xdr:rowOff>
    </xdr:to>
    <xdr:cxnSp macro="">
      <xdr:nvCxnSpPr>
        <xdr:cNvPr id="143553" name="직선 화살표 연결선 143552">
          <a:extLst>
            <a:ext uri="{FF2B5EF4-FFF2-40B4-BE49-F238E27FC236}">
              <a16:creationId xmlns:a16="http://schemas.microsoft.com/office/drawing/2014/main" id="{00000000-0008-0000-0100-0000C1300200}"/>
            </a:ext>
          </a:extLst>
        </xdr:cNvPr>
        <xdr:cNvCxnSpPr/>
      </xdr:nvCxnSpPr>
      <xdr:spPr>
        <a:xfrm>
          <a:off x="18528399" y="1125474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410497</xdr:colOff>
      <xdr:row>71</xdr:row>
      <xdr:rowOff>19050</xdr:rowOff>
    </xdr:from>
    <xdr:to>
      <xdr:col>33</xdr:col>
      <xdr:colOff>467868</xdr:colOff>
      <xdr:row>71</xdr:row>
      <xdr:rowOff>133350</xdr:rowOff>
    </xdr:to>
    <xdr:sp macro="" textlink="">
      <xdr:nvSpPr>
        <xdr:cNvPr id="143554" name="68">
          <a:extLst>
            <a:ext uri="{FF2B5EF4-FFF2-40B4-BE49-F238E27FC236}">
              <a16:creationId xmlns:a16="http://schemas.microsoft.com/office/drawing/2014/main" id="{00000000-0008-0000-0100-0000C2300200}"/>
            </a:ext>
          </a:extLst>
        </xdr:cNvPr>
        <xdr:cNvSpPr/>
      </xdr:nvSpPr>
      <xdr:spPr>
        <a:xfrm>
          <a:off x="16229617" y="11045190"/>
          <a:ext cx="13299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410497</xdr:colOff>
      <xdr:row>71</xdr:row>
      <xdr:rowOff>76200</xdr:rowOff>
    </xdr:from>
    <xdr:to>
      <xdr:col>32</xdr:col>
      <xdr:colOff>1074818</xdr:colOff>
      <xdr:row>71</xdr:row>
      <xdr:rowOff>76200</xdr:rowOff>
    </xdr:to>
    <xdr:cxnSp macro="">
      <xdr:nvCxnSpPr>
        <xdr:cNvPr id="143555" name="직선 화살표 연결선 143554">
          <a:extLst>
            <a:ext uri="{FF2B5EF4-FFF2-40B4-BE49-F238E27FC236}">
              <a16:creationId xmlns:a16="http://schemas.microsoft.com/office/drawing/2014/main" id="{00000000-0008-0000-0100-0000C3300200}"/>
            </a:ext>
          </a:extLst>
        </xdr:cNvPr>
        <xdr:cNvCxnSpPr/>
      </xdr:nvCxnSpPr>
      <xdr:spPr>
        <a:xfrm>
          <a:off x="16229617" y="11102340"/>
          <a:ext cx="6643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410497</xdr:colOff>
      <xdr:row>70</xdr:row>
      <xdr:rowOff>19050</xdr:rowOff>
    </xdr:from>
    <xdr:to>
      <xdr:col>33</xdr:col>
      <xdr:colOff>467868</xdr:colOff>
      <xdr:row>70</xdr:row>
      <xdr:rowOff>133350</xdr:rowOff>
    </xdr:to>
    <xdr:sp macro="" textlink="">
      <xdr:nvSpPr>
        <xdr:cNvPr id="143556" name="67">
          <a:extLst>
            <a:ext uri="{FF2B5EF4-FFF2-40B4-BE49-F238E27FC236}">
              <a16:creationId xmlns:a16="http://schemas.microsoft.com/office/drawing/2014/main" id="{00000000-0008-0000-0100-0000C4300200}"/>
            </a:ext>
          </a:extLst>
        </xdr:cNvPr>
        <xdr:cNvSpPr/>
      </xdr:nvSpPr>
      <xdr:spPr>
        <a:xfrm>
          <a:off x="16229617" y="10892790"/>
          <a:ext cx="13299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410497</xdr:colOff>
      <xdr:row>70</xdr:row>
      <xdr:rowOff>76200</xdr:rowOff>
    </xdr:from>
    <xdr:to>
      <xdr:col>32</xdr:col>
      <xdr:colOff>1074818</xdr:colOff>
      <xdr:row>70</xdr:row>
      <xdr:rowOff>76200</xdr:rowOff>
    </xdr:to>
    <xdr:cxnSp macro="">
      <xdr:nvCxnSpPr>
        <xdr:cNvPr id="143557" name="직선 화살표 연결선 143556">
          <a:extLst>
            <a:ext uri="{FF2B5EF4-FFF2-40B4-BE49-F238E27FC236}">
              <a16:creationId xmlns:a16="http://schemas.microsoft.com/office/drawing/2014/main" id="{00000000-0008-0000-0100-0000C5300200}"/>
            </a:ext>
          </a:extLst>
        </xdr:cNvPr>
        <xdr:cNvCxnSpPr/>
      </xdr:nvCxnSpPr>
      <xdr:spPr>
        <a:xfrm>
          <a:off x="16229617" y="10949940"/>
          <a:ext cx="6643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410497</xdr:colOff>
      <xdr:row>69</xdr:row>
      <xdr:rowOff>19050</xdr:rowOff>
    </xdr:from>
    <xdr:to>
      <xdr:col>34</xdr:col>
      <xdr:colOff>370717</xdr:colOff>
      <xdr:row>69</xdr:row>
      <xdr:rowOff>133350</xdr:rowOff>
    </xdr:to>
    <xdr:sp macro="" textlink="">
      <xdr:nvSpPr>
        <xdr:cNvPr id="143558" name="66">
          <a:extLst>
            <a:ext uri="{FF2B5EF4-FFF2-40B4-BE49-F238E27FC236}">
              <a16:creationId xmlns:a16="http://schemas.microsoft.com/office/drawing/2014/main" id="{00000000-0008-0000-0100-0000C6300200}"/>
            </a:ext>
          </a:extLst>
        </xdr:cNvPr>
        <xdr:cNvSpPr/>
      </xdr:nvSpPr>
      <xdr:spPr>
        <a:xfrm>
          <a:off x="16229617" y="10740390"/>
          <a:ext cx="250530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410497</xdr:colOff>
      <xdr:row>69</xdr:row>
      <xdr:rowOff>76200</xdr:rowOff>
    </xdr:from>
    <xdr:to>
      <xdr:col>33</xdr:col>
      <xdr:colOff>174108</xdr:colOff>
      <xdr:row>69</xdr:row>
      <xdr:rowOff>76200</xdr:rowOff>
    </xdr:to>
    <xdr:cxnSp macro="">
      <xdr:nvCxnSpPr>
        <xdr:cNvPr id="143559" name="직선 화살표 연결선 143558">
          <a:extLst>
            <a:ext uri="{FF2B5EF4-FFF2-40B4-BE49-F238E27FC236}">
              <a16:creationId xmlns:a16="http://schemas.microsoft.com/office/drawing/2014/main" id="{00000000-0008-0000-0100-0000C7300200}"/>
            </a:ext>
          </a:extLst>
        </xdr:cNvPr>
        <xdr:cNvCxnSpPr/>
      </xdr:nvCxnSpPr>
      <xdr:spPr>
        <a:xfrm>
          <a:off x="16229617" y="10797540"/>
          <a:ext cx="103615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1145286</xdr:colOff>
      <xdr:row>68</xdr:row>
      <xdr:rowOff>19050</xdr:rowOff>
    </xdr:from>
    <xdr:to>
      <xdr:col>34</xdr:col>
      <xdr:colOff>83369</xdr:colOff>
      <xdr:row>68</xdr:row>
      <xdr:rowOff>133350</xdr:rowOff>
    </xdr:to>
    <xdr:sp macro="" textlink="">
      <xdr:nvSpPr>
        <xdr:cNvPr id="143560" name="65">
          <a:extLst>
            <a:ext uri="{FF2B5EF4-FFF2-40B4-BE49-F238E27FC236}">
              <a16:creationId xmlns:a16="http://schemas.microsoft.com/office/drawing/2014/main" id="{00000000-0008-0000-0100-0000C8300200}"/>
            </a:ext>
          </a:extLst>
        </xdr:cNvPr>
        <xdr:cNvSpPr/>
      </xdr:nvSpPr>
      <xdr:spPr>
        <a:xfrm>
          <a:off x="18236946" y="10587990"/>
          <a:ext cx="2106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1145286</xdr:colOff>
      <xdr:row>68</xdr:row>
      <xdr:rowOff>76200</xdr:rowOff>
    </xdr:from>
    <xdr:to>
      <xdr:col>33</xdr:col>
      <xdr:colOff>1145286</xdr:colOff>
      <xdr:row>68</xdr:row>
      <xdr:rowOff>76200</xdr:rowOff>
    </xdr:to>
    <xdr:cxnSp macro="">
      <xdr:nvCxnSpPr>
        <xdr:cNvPr id="143561" name="직선 화살표 연결선 143560">
          <a:extLst>
            <a:ext uri="{FF2B5EF4-FFF2-40B4-BE49-F238E27FC236}">
              <a16:creationId xmlns:a16="http://schemas.microsoft.com/office/drawing/2014/main" id="{00000000-0008-0000-0100-0000C9300200}"/>
            </a:ext>
          </a:extLst>
        </xdr:cNvPr>
        <xdr:cNvCxnSpPr/>
      </xdr:nvCxnSpPr>
      <xdr:spPr>
        <a:xfrm>
          <a:off x="18236946" y="1064514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1145286</xdr:colOff>
      <xdr:row>67</xdr:row>
      <xdr:rowOff>19050</xdr:rowOff>
    </xdr:from>
    <xdr:to>
      <xdr:col>34</xdr:col>
      <xdr:colOff>83369</xdr:colOff>
      <xdr:row>67</xdr:row>
      <xdr:rowOff>133350</xdr:rowOff>
    </xdr:to>
    <xdr:sp macro="" textlink="">
      <xdr:nvSpPr>
        <xdr:cNvPr id="143562" name="64">
          <a:extLst>
            <a:ext uri="{FF2B5EF4-FFF2-40B4-BE49-F238E27FC236}">
              <a16:creationId xmlns:a16="http://schemas.microsoft.com/office/drawing/2014/main" id="{00000000-0008-0000-0100-0000CA300200}"/>
            </a:ext>
          </a:extLst>
        </xdr:cNvPr>
        <xdr:cNvSpPr/>
      </xdr:nvSpPr>
      <xdr:spPr>
        <a:xfrm>
          <a:off x="18236946" y="10435590"/>
          <a:ext cx="2106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1145286</xdr:colOff>
      <xdr:row>67</xdr:row>
      <xdr:rowOff>76200</xdr:rowOff>
    </xdr:from>
    <xdr:to>
      <xdr:col>33</xdr:col>
      <xdr:colOff>1145286</xdr:colOff>
      <xdr:row>67</xdr:row>
      <xdr:rowOff>76200</xdr:rowOff>
    </xdr:to>
    <xdr:cxnSp macro="">
      <xdr:nvCxnSpPr>
        <xdr:cNvPr id="143563" name="직선 화살표 연결선 143562">
          <a:extLst>
            <a:ext uri="{FF2B5EF4-FFF2-40B4-BE49-F238E27FC236}">
              <a16:creationId xmlns:a16="http://schemas.microsoft.com/office/drawing/2014/main" id="{00000000-0008-0000-0100-0000CB300200}"/>
            </a:ext>
          </a:extLst>
        </xdr:cNvPr>
        <xdr:cNvCxnSpPr/>
      </xdr:nvCxnSpPr>
      <xdr:spPr>
        <a:xfrm>
          <a:off x="18236946" y="1049274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1145286</xdr:colOff>
      <xdr:row>66</xdr:row>
      <xdr:rowOff>19050</xdr:rowOff>
    </xdr:from>
    <xdr:to>
      <xdr:col>34</xdr:col>
      <xdr:colOff>83369</xdr:colOff>
      <xdr:row>66</xdr:row>
      <xdr:rowOff>133350</xdr:rowOff>
    </xdr:to>
    <xdr:sp macro="" textlink="">
      <xdr:nvSpPr>
        <xdr:cNvPr id="143564" name="63">
          <a:extLst>
            <a:ext uri="{FF2B5EF4-FFF2-40B4-BE49-F238E27FC236}">
              <a16:creationId xmlns:a16="http://schemas.microsoft.com/office/drawing/2014/main" id="{00000000-0008-0000-0100-0000CC300200}"/>
            </a:ext>
          </a:extLst>
        </xdr:cNvPr>
        <xdr:cNvSpPr/>
      </xdr:nvSpPr>
      <xdr:spPr>
        <a:xfrm>
          <a:off x="18236946" y="10283190"/>
          <a:ext cx="2106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1145286</xdr:colOff>
      <xdr:row>66</xdr:row>
      <xdr:rowOff>76200</xdr:rowOff>
    </xdr:from>
    <xdr:to>
      <xdr:col>33</xdr:col>
      <xdr:colOff>1145286</xdr:colOff>
      <xdr:row>66</xdr:row>
      <xdr:rowOff>76200</xdr:rowOff>
    </xdr:to>
    <xdr:cxnSp macro="">
      <xdr:nvCxnSpPr>
        <xdr:cNvPr id="143565" name="직선 화살표 연결선 143564">
          <a:extLst>
            <a:ext uri="{FF2B5EF4-FFF2-40B4-BE49-F238E27FC236}">
              <a16:creationId xmlns:a16="http://schemas.microsoft.com/office/drawing/2014/main" id="{00000000-0008-0000-0100-0000CD300200}"/>
            </a:ext>
          </a:extLst>
        </xdr:cNvPr>
        <xdr:cNvCxnSpPr/>
      </xdr:nvCxnSpPr>
      <xdr:spPr>
        <a:xfrm>
          <a:off x="18236946" y="1034034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1145286</xdr:colOff>
      <xdr:row>65</xdr:row>
      <xdr:rowOff>19050</xdr:rowOff>
    </xdr:from>
    <xdr:to>
      <xdr:col>34</xdr:col>
      <xdr:colOff>83369</xdr:colOff>
      <xdr:row>65</xdr:row>
      <xdr:rowOff>133350</xdr:rowOff>
    </xdr:to>
    <xdr:sp macro="" textlink="">
      <xdr:nvSpPr>
        <xdr:cNvPr id="143566" name="62">
          <a:extLst>
            <a:ext uri="{FF2B5EF4-FFF2-40B4-BE49-F238E27FC236}">
              <a16:creationId xmlns:a16="http://schemas.microsoft.com/office/drawing/2014/main" id="{00000000-0008-0000-0100-0000CE300200}"/>
            </a:ext>
          </a:extLst>
        </xdr:cNvPr>
        <xdr:cNvSpPr/>
      </xdr:nvSpPr>
      <xdr:spPr>
        <a:xfrm>
          <a:off x="18236946" y="10130790"/>
          <a:ext cx="2106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1145286</xdr:colOff>
      <xdr:row>65</xdr:row>
      <xdr:rowOff>76200</xdr:rowOff>
    </xdr:from>
    <xdr:to>
      <xdr:col>33</xdr:col>
      <xdr:colOff>1145286</xdr:colOff>
      <xdr:row>65</xdr:row>
      <xdr:rowOff>76200</xdr:rowOff>
    </xdr:to>
    <xdr:cxnSp macro="">
      <xdr:nvCxnSpPr>
        <xdr:cNvPr id="143567" name="직선 화살표 연결선 143566">
          <a:extLst>
            <a:ext uri="{FF2B5EF4-FFF2-40B4-BE49-F238E27FC236}">
              <a16:creationId xmlns:a16="http://schemas.microsoft.com/office/drawing/2014/main" id="{00000000-0008-0000-0100-0000CF300200}"/>
            </a:ext>
          </a:extLst>
        </xdr:cNvPr>
        <xdr:cNvCxnSpPr/>
      </xdr:nvCxnSpPr>
      <xdr:spPr>
        <a:xfrm>
          <a:off x="18236946" y="1018794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763524</xdr:colOff>
      <xdr:row>64</xdr:row>
      <xdr:rowOff>19050</xdr:rowOff>
    </xdr:from>
    <xdr:to>
      <xdr:col>32</xdr:col>
      <xdr:colOff>863313</xdr:colOff>
      <xdr:row>64</xdr:row>
      <xdr:rowOff>133350</xdr:rowOff>
    </xdr:to>
    <xdr:sp macro="" textlink="">
      <xdr:nvSpPr>
        <xdr:cNvPr id="143568" name="61">
          <a:extLst>
            <a:ext uri="{FF2B5EF4-FFF2-40B4-BE49-F238E27FC236}">
              <a16:creationId xmlns:a16="http://schemas.microsoft.com/office/drawing/2014/main" id="{00000000-0008-0000-0100-0000D0300200}"/>
            </a:ext>
          </a:extLst>
        </xdr:cNvPr>
        <xdr:cNvSpPr/>
      </xdr:nvSpPr>
      <xdr:spPr>
        <a:xfrm>
          <a:off x="15310104" y="9978390"/>
          <a:ext cx="137232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763524</xdr:colOff>
      <xdr:row>64</xdr:row>
      <xdr:rowOff>76200</xdr:rowOff>
    </xdr:from>
    <xdr:to>
      <xdr:col>31</xdr:col>
      <xdr:colOff>763524</xdr:colOff>
      <xdr:row>64</xdr:row>
      <xdr:rowOff>76200</xdr:rowOff>
    </xdr:to>
    <xdr:cxnSp macro="">
      <xdr:nvCxnSpPr>
        <xdr:cNvPr id="143569" name="직선 화살표 연결선 143568">
          <a:extLst>
            <a:ext uri="{FF2B5EF4-FFF2-40B4-BE49-F238E27FC236}">
              <a16:creationId xmlns:a16="http://schemas.microsoft.com/office/drawing/2014/main" id="{00000000-0008-0000-0100-0000D1300200}"/>
            </a:ext>
          </a:extLst>
        </xdr:cNvPr>
        <xdr:cNvCxnSpPr/>
      </xdr:nvCxnSpPr>
      <xdr:spPr>
        <a:xfrm>
          <a:off x="15310104" y="10035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763524</xdr:colOff>
      <xdr:row>63</xdr:row>
      <xdr:rowOff>19050</xdr:rowOff>
    </xdr:from>
    <xdr:to>
      <xdr:col>32</xdr:col>
      <xdr:colOff>863313</xdr:colOff>
      <xdr:row>63</xdr:row>
      <xdr:rowOff>133350</xdr:rowOff>
    </xdr:to>
    <xdr:sp macro="" textlink="">
      <xdr:nvSpPr>
        <xdr:cNvPr id="143570" name="60">
          <a:extLst>
            <a:ext uri="{FF2B5EF4-FFF2-40B4-BE49-F238E27FC236}">
              <a16:creationId xmlns:a16="http://schemas.microsoft.com/office/drawing/2014/main" id="{00000000-0008-0000-0100-0000D2300200}"/>
            </a:ext>
          </a:extLst>
        </xdr:cNvPr>
        <xdr:cNvSpPr/>
      </xdr:nvSpPr>
      <xdr:spPr>
        <a:xfrm>
          <a:off x="15310104" y="9825990"/>
          <a:ext cx="137232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763524</xdr:colOff>
      <xdr:row>63</xdr:row>
      <xdr:rowOff>76200</xdr:rowOff>
    </xdr:from>
    <xdr:to>
      <xdr:col>31</xdr:col>
      <xdr:colOff>763524</xdr:colOff>
      <xdr:row>63</xdr:row>
      <xdr:rowOff>76200</xdr:rowOff>
    </xdr:to>
    <xdr:cxnSp macro="">
      <xdr:nvCxnSpPr>
        <xdr:cNvPr id="143571" name="직선 화살표 연결선 143570">
          <a:extLst>
            <a:ext uri="{FF2B5EF4-FFF2-40B4-BE49-F238E27FC236}">
              <a16:creationId xmlns:a16="http://schemas.microsoft.com/office/drawing/2014/main" id="{00000000-0008-0000-0100-0000D3300200}"/>
            </a:ext>
          </a:extLst>
        </xdr:cNvPr>
        <xdr:cNvCxnSpPr/>
      </xdr:nvCxnSpPr>
      <xdr:spPr>
        <a:xfrm>
          <a:off x="15310104" y="9883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763524</xdr:colOff>
      <xdr:row>62</xdr:row>
      <xdr:rowOff>19050</xdr:rowOff>
    </xdr:from>
    <xdr:to>
      <xdr:col>32</xdr:col>
      <xdr:colOff>863313</xdr:colOff>
      <xdr:row>62</xdr:row>
      <xdr:rowOff>133350</xdr:rowOff>
    </xdr:to>
    <xdr:sp macro="" textlink="">
      <xdr:nvSpPr>
        <xdr:cNvPr id="143572" name="59">
          <a:extLst>
            <a:ext uri="{FF2B5EF4-FFF2-40B4-BE49-F238E27FC236}">
              <a16:creationId xmlns:a16="http://schemas.microsoft.com/office/drawing/2014/main" id="{00000000-0008-0000-0100-0000D4300200}"/>
            </a:ext>
          </a:extLst>
        </xdr:cNvPr>
        <xdr:cNvSpPr/>
      </xdr:nvSpPr>
      <xdr:spPr>
        <a:xfrm>
          <a:off x="15310104" y="9673590"/>
          <a:ext cx="137232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763524</xdr:colOff>
      <xdr:row>62</xdr:row>
      <xdr:rowOff>76200</xdr:rowOff>
    </xdr:from>
    <xdr:to>
      <xdr:col>32</xdr:col>
      <xdr:colOff>313619</xdr:colOff>
      <xdr:row>62</xdr:row>
      <xdr:rowOff>76200</xdr:rowOff>
    </xdr:to>
    <xdr:cxnSp macro="">
      <xdr:nvCxnSpPr>
        <xdr:cNvPr id="143573" name="직선 화살표 연결선 143572">
          <a:extLst>
            <a:ext uri="{FF2B5EF4-FFF2-40B4-BE49-F238E27FC236}">
              <a16:creationId xmlns:a16="http://schemas.microsoft.com/office/drawing/2014/main" id="{00000000-0008-0000-0100-0000D5300200}"/>
            </a:ext>
          </a:extLst>
        </xdr:cNvPr>
        <xdr:cNvCxnSpPr/>
      </xdr:nvCxnSpPr>
      <xdr:spPr>
        <a:xfrm>
          <a:off x="15310104" y="9730740"/>
          <a:ext cx="82263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763524</xdr:colOff>
      <xdr:row>61</xdr:row>
      <xdr:rowOff>19050</xdr:rowOff>
    </xdr:from>
    <xdr:to>
      <xdr:col>32</xdr:col>
      <xdr:colOff>863313</xdr:colOff>
      <xdr:row>61</xdr:row>
      <xdr:rowOff>133350</xdr:rowOff>
    </xdr:to>
    <xdr:sp macro="" textlink="">
      <xdr:nvSpPr>
        <xdr:cNvPr id="143574" name="58">
          <a:extLst>
            <a:ext uri="{FF2B5EF4-FFF2-40B4-BE49-F238E27FC236}">
              <a16:creationId xmlns:a16="http://schemas.microsoft.com/office/drawing/2014/main" id="{00000000-0008-0000-0100-0000D6300200}"/>
            </a:ext>
          </a:extLst>
        </xdr:cNvPr>
        <xdr:cNvSpPr/>
      </xdr:nvSpPr>
      <xdr:spPr>
        <a:xfrm>
          <a:off x="15310104" y="9521190"/>
          <a:ext cx="137232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763524</xdr:colOff>
      <xdr:row>61</xdr:row>
      <xdr:rowOff>76200</xdr:rowOff>
    </xdr:from>
    <xdr:to>
      <xdr:col>32</xdr:col>
      <xdr:colOff>313619</xdr:colOff>
      <xdr:row>61</xdr:row>
      <xdr:rowOff>76200</xdr:rowOff>
    </xdr:to>
    <xdr:cxnSp macro="">
      <xdr:nvCxnSpPr>
        <xdr:cNvPr id="143575" name="직선 화살표 연결선 143574">
          <a:extLst>
            <a:ext uri="{FF2B5EF4-FFF2-40B4-BE49-F238E27FC236}">
              <a16:creationId xmlns:a16="http://schemas.microsoft.com/office/drawing/2014/main" id="{00000000-0008-0000-0100-0000D7300200}"/>
            </a:ext>
          </a:extLst>
        </xdr:cNvPr>
        <xdr:cNvCxnSpPr/>
      </xdr:nvCxnSpPr>
      <xdr:spPr>
        <a:xfrm>
          <a:off x="15310104" y="9578340"/>
          <a:ext cx="82263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763524</xdr:colOff>
      <xdr:row>60</xdr:row>
      <xdr:rowOff>19050</xdr:rowOff>
    </xdr:from>
    <xdr:to>
      <xdr:col>34</xdr:col>
      <xdr:colOff>83369</xdr:colOff>
      <xdr:row>60</xdr:row>
      <xdr:rowOff>133350</xdr:rowOff>
    </xdr:to>
    <xdr:sp macro="" textlink="">
      <xdr:nvSpPr>
        <xdr:cNvPr id="143576" name="57">
          <a:extLst>
            <a:ext uri="{FF2B5EF4-FFF2-40B4-BE49-F238E27FC236}">
              <a16:creationId xmlns:a16="http://schemas.microsoft.com/office/drawing/2014/main" id="{00000000-0008-0000-0100-0000D8300200}"/>
            </a:ext>
          </a:extLst>
        </xdr:cNvPr>
        <xdr:cNvSpPr/>
      </xdr:nvSpPr>
      <xdr:spPr>
        <a:xfrm>
          <a:off x="15310104" y="9368790"/>
          <a:ext cx="31374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763524</xdr:colOff>
      <xdr:row>60</xdr:row>
      <xdr:rowOff>76200</xdr:rowOff>
    </xdr:from>
    <xdr:to>
      <xdr:col>32</xdr:col>
      <xdr:colOff>263832</xdr:colOff>
      <xdr:row>60</xdr:row>
      <xdr:rowOff>76200</xdr:rowOff>
    </xdr:to>
    <xdr:cxnSp macro="">
      <xdr:nvCxnSpPr>
        <xdr:cNvPr id="143577" name="직선 화살표 연결선 143576">
          <a:extLst>
            <a:ext uri="{FF2B5EF4-FFF2-40B4-BE49-F238E27FC236}">
              <a16:creationId xmlns:a16="http://schemas.microsoft.com/office/drawing/2014/main" id="{00000000-0008-0000-0100-0000D9300200}"/>
            </a:ext>
          </a:extLst>
        </xdr:cNvPr>
        <xdr:cNvCxnSpPr/>
      </xdr:nvCxnSpPr>
      <xdr:spPr>
        <a:xfrm>
          <a:off x="15310104" y="9425940"/>
          <a:ext cx="7728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1231490</xdr:colOff>
      <xdr:row>59</xdr:row>
      <xdr:rowOff>19050</xdr:rowOff>
    </xdr:from>
    <xdr:to>
      <xdr:col>33</xdr:col>
      <xdr:colOff>170942</xdr:colOff>
      <xdr:row>59</xdr:row>
      <xdr:rowOff>133350</xdr:rowOff>
    </xdr:to>
    <xdr:sp macro="" textlink="">
      <xdr:nvSpPr>
        <xdr:cNvPr id="143578" name="56">
          <a:extLst>
            <a:ext uri="{FF2B5EF4-FFF2-40B4-BE49-F238E27FC236}">
              <a16:creationId xmlns:a16="http://schemas.microsoft.com/office/drawing/2014/main" id="{00000000-0008-0000-0100-0000DA300200}"/>
            </a:ext>
          </a:extLst>
        </xdr:cNvPr>
        <xdr:cNvSpPr/>
      </xdr:nvSpPr>
      <xdr:spPr>
        <a:xfrm>
          <a:off x="17050610" y="9216390"/>
          <a:ext cx="21199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1231490</xdr:colOff>
      <xdr:row>59</xdr:row>
      <xdr:rowOff>76200</xdr:rowOff>
    </xdr:from>
    <xdr:to>
      <xdr:col>32</xdr:col>
      <xdr:colOff>1231490</xdr:colOff>
      <xdr:row>59</xdr:row>
      <xdr:rowOff>76200</xdr:rowOff>
    </xdr:to>
    <xdr:cxnSp macro="">
      <xdr:nvCxnSpPr>
        <xdr:cNvPr id="143579" name="직선 화살표 연결선 143578">
          <a:extLst>
            <a:ext uri="{FF2B5EF4-FFF2-40B4-BE49-F238E27FC236}">
              <a16:creationId xmlns:a16="http://schemas.microsoft.com/office/drawing/2014/main" id="{00000000-0008-0000-0100-0000DB300200}"/>
            </a:ext>
          </a:extLst>
        </xdr:cNvPr>
        <xdr:cNvCxnSpPr/>
      </xdr:nvCxnSpPr>
      <xdr:spPr>
        <a:xfrm>
          <a:off x="17050610" y="927354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1231490</xdr:colOff>
      <xdr:row>58</xdr:row>
      <xdr:rowOff>19050</xdr:rowOff>
    </xdr:from>
    <xdr:to>
      <xdr:col>33</xdr:col>
      <xdr:colOff>170942</xdr:colOff>
      <xdr:row>58</xdr:row>
      <xdr:rowOff>133350</xdr:rowOff>
    </xdr:to>
    <xdr:sp macro="" textlink="">
      <xdr:nvSpPr>
        <xdr:cNvPr id="143580" name="55">
          <a:extLst>
            <a:ext uri="{FF2B5EF4-FFF2-40B4-BE49-F238E27FC236}">
              <a16:creationId xmlns:a16="http://schemas.microsoft.com/office/drawing/2014/main" id="{00000000-0008-0000-0100-0000DC300200}"/>
            </a:ext>
          </a:extLst>
        </xdr:cNvPr>
        <xdr:cNvSpPr/>
      </xdr:nvSpPr>
      <xdr:spPr>
        <a:xfrm>
          <a:off x="17050610" y="9063990"/>
          <a:ext cx="21199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1231490</xdr:colOff>
      <xdr:row>58</xdr:row>
      <xdr:rowOff>76200</xdr:rowOff>
    </xdr:from>
    <xdr:to>
      <xdr:col>33</xdr:col>
      <xdr:colOff>106456</xdr:colOff>
      <xdr:row>58</xdr:row>
      <xdr:rowOff>76200</xdr:rowOff>
    </xdr:to>
    <xdr:cxnSp macro="">
      <xdr:nvCxnSpPr>
        <xdr:cNvPr id="143581" name="직선 화살표 연결선 143580">
          <a:extLst>
            <a:ext uri="{FF2B5EF4-FFF2-40B4-BE49-F238E27FC236}">
              <a16:creationId xmlns:a16="http://schemas.microsoft.com/office/drawing/2014/main" id="{00000000-0008-0000-0100-0000DD300200}"/>
            </a:ext>
          </a:extLst>
        </xdr:cNvPr>
        <xdr:cNvCxnSpPr/>
      </xdr:nvCxnSpPr>
      <xdr:spPr>
        <a:xfrm>
          <a:off x="17050610" y="9121140"/>
          <a:ext cx="14750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1231490</xdr:colOff>
      <xdr:row>57</xdr:row>
      <xdr:rowOff>19050</xdr:rowOff>
    </xdr:from>
    <xdr:to>
      <xdr:col>33</xdr:col>
      <xdr:colOff>170942</xdr:colOff>
      <xdr:row>57</xdr:row>
      <xdr:rowOff>133350</xdr:rowOff>
    </xdr:to>
    <xdr:sp macro="" textlink="">
      <xdr:nvSpPr>
        <xdr:cNvPr id="143582" name="54">
          <a:extLst>
            <a:ext uri="{FF2B5EF4-FFF2-40B4-BE49-F238E27FC236}">
              <a16:creationId xmlns:a16="http://schemas.microsoft.com/office/drawing/2014/main" id="{00000000-0008-0000-0100-0000DE300200}"/>
            </a:ext>
          </a:extLst>
        </xdr:cNvPr>
        <xdr:cNvSpPr/>
      </xdr:nvSpPr>
      <xdr:spPr>
        <a:xfrm>
          <a:off x="17050610" y="8911590"/>
          <a:ext cx="21199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1231490</xdr:colOff>
      <xdr:row>57</xdr:row>
      <xdr:rowOff>76200</xdr:rowOff>
    </xdr:from>
    <xdr:to>
      <xdr:col>33</xdr:col>
      <xdr:colOff>32703</xdr:colOff>
      <xdr:row>57</xdr:row>
      <xdr:rowOff>76200</xdr:rowOff>
    </xdr:to>
    <xdr:cxnSp macro="">
      <xdr:nvCxnSpPr>
        <xdr:cNvPr id="143583" name="직선 화살표 연결선 143582">
          <a:extLst>
            <a:ext uri="{FF2B5EF4-FFF2-40B4-BE49-F238E27FC236}">
              <a16:creationId xmlns:a16="http://schemas.microsoft.com/office/drawing/2014/main" id="{00000000-0008-0000-0100-0000DF300200}"/>
            </a:ext>
          </a:extLst>
        </xdr:cNvPr>
        <xdr:cNvCxnSpPr/>
      </xdr:nvCxnSpPr>
      <xdr:spPr>
        <a:xfrm>
          <a:off x="17050610" y="8968740"/>
          <a:ext cx="737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1145286</xdr:colOff>
      <xdr:row>56</xdr:row>
      <xdr:rowOff>19050</xdr:rowOff>
    </xdr:from>
    <xdr:to>
      <xdr:col>34</xdr:col>
      <xdr:colOff>83369</xdr:colOff>
      <xdr:row>56</xdr:row>
      <xdr:rowOff>133350</xdr:rowOff>
    </xdr:to>
    <xdr:sp macro="" textlink="">
      <xdr:nvSpPr>
        <xdr:cNvPr id="143584" name="53">
          <a:extLst>
            <a:ext uri="{FF2B5EF4-FFF2-40B4-BE49-F238E27FC236}">
              <a16:creationId xmlns:a16="http://schemas.microsoft.com/office/drawing/2014/main" id="{00000000-0008-0000-0100-0000E0300200}"/>
            </a:ext>
          </a:extLst>
        </xdr:cNvPr>
        <xdr:cNvSpPr/>
      </xdr:nvSpPr>
      <xdr:spPr>
        <a:xfrm>
          <a:off x="18236946" y="8759190"/>
          <a:ext cx="2106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1145286</xdr:colOff>
      <xdr:row>56</xdr:row>
      <xdr:rowOff>76200</xdr:rowOff>
    </xdr:from>
    <xdr:to>
      <xdr:col>33</xdr:col>
      <xdr:colOff>1145286</xdr:colOff>
      <xdr:row>56</xdr:row>
      <xdr:rowOff>76200</xdr:rowOff>
    </xdr:to>
    <xdr:cxnSp macro="">
      <xdr:nvCxnSpPr>
        <xdr:cNvPr id="143585" name="직선 화살표 연결선 143584">
          <a:extLst>
            <a:ext uri="{FF2B5EF4-FFF2-40B4-BE49-F238E27FC236}">
              <a16:creationId xmlns:a16="http://schemas.microsoft.com/office/drawing/2014/main" id="{00000000-0008-0000-0100-0000E1300200}"/>
            </a:ext>
          </a:extLst>
        </xdr:cNvPr>
        <xdr:cNvCxnSpPr/>
      </xdr:nvCxnSpPr>
      <xdr:spPr>
        <a:xfrm>
          <a:off x="18236946" y="881634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1145286</xdr:colOff>
      <xdr:row>55</xdr:row>
      <xdr:rowOff>19050</xdr:rowOff>
    </xdr:from>
    <xdr:to>
      <xdr:col>34</xdr:col>
      <xdr:colOff>83369</xdr:colOff>
      <xdr:row>55</xdr:row>
      <xdr:rowOff>133350</xdr:rowOff>
    </xdr:to>
    <xdr:sp macro="" textlink="">
      <xdr:nvSpPr>
        <xdr:cNvPr id="143586" name="52">
          <a:extLst>
            <a:ext uri="{FF2B5EF4-FFF2-40B4-BE49-F238E27FC236}">
              <a16:creationId xmlns:a16="http://schemas.microsoft.com/office/drawing/2014/main" id="{00000000-0008-0000-0100-0000E2300200}"/>
            </a:ext>
          </a:extLst>
        </xdr:cNvPr>
        <xdr:cNvSpPr/>
      </xdr:nvSpPr>
      <xdr:spPr>
        <a:xfrm>
          <a:off x="18236946" y="8606790"/>
          <a:ext cx="21062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1145286</xdr:colOff>
      <xdr:row>55</xdr:row>
      <xdr:rowOff>76200</xdr:rowOff>
    </xdr:from>
    <xdr:to>
      <xdr:col>33</xdr:col>
      <xdr:colOff>1145286</xdr:colOff>
      <xdr:row>55</xdr:row>
      <xdr:rowOff>76200</xdr:rowOff>
    </xdr:to>
    <xdr:cxnSp macro="">
      <xdr:nvCxnSpPr>
        <xdr:cNvPr id="143587" name="직선 화살표 연결선 143586">
          <a:extLst>
            <a:ext uri="{FF2B5EF4-FFF2-40B4-BE49-F238E27FC236}">
              <a16:creationId xmlns:a16="http://schemas.microsoft.com/office/drawing/2014/main" id="{00000000-0008-0000-0100-0000E3300200}"/>
            </a:ext>
          </a:extLst>
        </xdr:cNvPr>
        <xdr:cNvCxnSpPr/>
      </xdr:nvCxnSpPr>
      <xdr:spPr>
        <a:xfrm>
          <a:off x="18236946" y="866394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254508</xdr:colOff>
      <xdr:row>54</xdr:row>
      <xdr:rowOff>19050</xdr:rowOff>
    </xdr:from>
    <xdr:to>
      <xdr:col>33</xdr:col>
      <xdr:colOff>1061720</xdr:colOff>
      <xdr:row>54</xdr:row>
      <xdr:rowOff>133350</xdr:rowOff>
    </xdr:to>
    <xdr:sp macro="" textlink="">
      <xdr:nvSpPr>
        <xdr:cNvPr id="143588" name="51">
          <a:extLst>
            <a:ext uri="{FF2B5EF4-FFF2-40B4-BE49-F238E27FC236}">
              <a16:creationId xmlns:a16="http://schemas.microsoft.com/office/drawing/2014/main" id="{00000000-0008-0000-0100-0000E4300200}"/>
            </a:ext>
          </a:extLst>
        </xdr:cNvPr>
        <xdr:cNvSpPr/>
      </xdr:nvSpPr>
      <xdr:spPr>
        <a:xfrm>
          <a:off x="17346168" y="8454390"/>
          <a:ext cx="8072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254508</xdr:colOff>
      <xdr:row>54</xdr:row>
      <xdr:rowOff>76200</xdr:rowOff>
    </xdr:from>
    <xdr:to>
      <xdr:col>33</xdr:col>
      <xdr:colOff>254508</xdr:colOff>
      <xdr:row>54</xdr:row>
      <xdr:rowOff>76200</xdr:rowOff>
    </xdr:to>
    <xdr:cxnSp macro="">
      <xdr:nvCxnSpPr>
        <xdr:cNvPr id="143589" name="직선 화살표 연결선 143588">
          <a:extLst>
            <a:ext uri="{FF2B5EF4-FFF2-40B4-BE49-F238E27FC236}">
              <a16:creationId xmlns:a16="http://schemas.microsoft.com/office/drawing/2014/main" id="{00000000-0008-0000-0100-0000E5300200}"/>
            </a:ext>
          </a:extLst>
        </xdr:cNvPr>
        <xdr:cNvCxnSpPr/>
      </xdr:nvCxnSpPr>
      <xdr:spPr>
        <a:xfrm>
          <a:off x="17346168" y="851154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254508</xdr:colOff>
      <xdr:row>53</xdr:row>
      <xdr:rowOff>19050</xdr:rowOff>
    </xdr:from>
    <xdr:to>
      <xdr:col>33</xdr:col>
      <xdr:colOff>1061720</xdr:colOff>
      <xdr:row>53</xdr:row>
      <xdr:rowOff>133350</xdr:rowOff>
    </xdr:to>
    <xdr:sp macro="" textlink="">
      <xdr:nvSpPr>
        <xdr:cNvPr id="143590" name="50">
          <a:extLst>
            <a:ext uri="{FF2B5EF4-FFF2-40B4-BE49-F238E27FC236}">
              <a16:creationId xmlns:a16="http://schemas.microsoft.com/office/drawing/2014/main" id="{00000000-0008-0000-0100-0000E6300200}"/>
            </a:ext>
          </a:extLst>
        </xdr:cNvPr>
        <xdr:cNvSpPr/>
      </xdr:nvSpPr>
      <xdr:spPr>
        <a:xfrm>
          <a:off x="17346168" y="8301990"/>
          <a:ext cx="8072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254508</xdr:colOff>
      <xdr:row>53</xdr:row>
      <xdr:rowOff>76200</xdr:rowOff>
    </xdr:from>
    <xdr:to>
      <xdr:col>33</xdr:col>
      <xdr:colOff>254508</xdr:colOff>
      <xdr:row>53</xdr:row>
      <xdr:rowOff>76200</xdr:rowOff>
    </xdr:to>
    <xdr:cxnSp macro="">
      <xdr:nvCxnSpPr>
        <xdr:cNvPr id="143591" name="직선 화살표 연결선 143590">
          <a:extLst>
            <a:ext uri="{FF2B5EF4-FFF2-40B4-BE49-F238E27FC236}">
              <a16:creationId xmlns:a16="http://schemas.microsoft.com/office/drawing/2014/main" id="{00000000-0008-0000-0100-0000E7300200}"/>
            </a:ext>
          </a:extLst>
        </xdr:cNvPr>
        <xdr:cNvCxnSpPr/>
      </xdr:nvCxnSpPr>
      <xdr:spPr>
        <a:xfrm>
          <a:off x="17346168" y="835914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254508</xdr:colOff>
      <xdr:row>52</xdr:row>
      <xdr:rowOff>19050</xdr:rowOff>
    </xdr:from>
    <xdr:to>
      <xdr:col>33</xdr:col>
      <xdr:colOff>467868</xdr:colOff>
      <xdr:row>52</xdr:row>
      <xdr:rowOff>133350</xdr:rowOff>
    </xdr:to>
    <xdr:sp macro="" textlink="">
      <xdr:nvSpPr>
        <xdr:cNvPr id="143592" name="49">
          <a:extLst>
            <a:ext uri="{FF2B5EF4-FFF2-40B4-BE49-F238E27FC236}">
              <a16:creationId xmlns:a16="http://schemas.microsoft.com/office/drawing/2014/main" id="{00000000-0008-0000-0100-0000E8300200}"/>
            </a:ext>
          </a:extLst>
        </xdr:cNvPr>
        <xdr:cNvSpPr/>
      </xdr:nvSpPr>
      <xdr:spPr>
        <a:xfrm>
          <a:off x="17346168" y="8149590"/>
          <a:ext cx="2133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254508</xdr:colOff>
      <xdr:row>52</xdr:row>
      <xdr:rowOff>76200</xdr:rowOff>
    </xdr:from>
    <xdr:to>
      <xdr:col>33</xdr:col>
      <xdr:colOff>254508</xdr:colOff>
      <xdr:row>52</xdr:row>
      <xdr:rowOff>76200</xdr:rowOff>
    </xdr:to>
    <xdr:cxnSp macro="">
      <xdr:nvCxnSpPr>
        <xdr:cNvPr id="143593" name="직선 화살표 연결선 143592">
          <a:extLst>
            <a:ext uri="{FF2B5EF4-FFF2-40B4-BE49-F238E27FC236}">
              <a16:creationId xmlns:a16="http://schemas.microsoft.com/office/drawing/2014/main" id="{00000000-0008-0000-0100-0000E9300200}"/>
            </a:ext>
          </a:extLst>
        </xdr:cNvPr>
        <xdr:cNvCxnSpPr/>
      </xdr:nvCxnSpPr>
      <xdr:spPr>
        <a:xfrm>
          <a:off x="17346168" y="820674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254508</xdr:colOff>
      <xdr:row>51</xdr:row>
      <xdr:rowOff>19050</xdr:rowOff>
    </xdr:from>
    <xdr:to>
      <xdr:col>33</xdr:col>
      <xdr:colOff>1061720</xdr:colOff>
      <xdr:row>51</xdr:row>
      <xdr:rowOff>133350</xdr:rowOff>
    </xdr:to>
    <xdr:sp macro="" textlink="">
      <xdr:nvSpPr>
        <xdr:cNvPr id="143594" name="48">
          <a:extLst>
            <a:ext uri="{FF2B5EF4-FFF2-40B4-BE49-F238E27FC236}">
              <a16:creationId xmlns:a16="http://schemas.microsoft.com/office/drawing/2014/main" id="{00000000-0008-0000-0100-0000EA300200}"/>
            </a:ext>
          </a:extLst>
        </xdr:cNvPr>
        <xdr:cNvSpPr/>
      </xdr:nvSpPr>
      <xdr:spPr>
        <a:xfrm>
          <a:off x="17346168" y="7997190"/>
          <a:ext cx="8072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254508</xdr:colOff>
      <xdr:row>51</xdr:row>
      <xdr:rowOff>76200</xdr:rowOff>
    </xdr:from>
    <xdr:to>
      <xdr:col>33</xdr:col>
      <xdr:colOff>254508</xdr:colOff>
      <xdr:row>51</xdr:row>
      <xdr:rowOff>76200</xdr:rowOff>
    </xdr:to>
    <xdr:cxnSp macro="">
      <xdr:nvCxnSpPr>
        <xdr:cNvPr id="143595" name="직선 화살표 연결선 143594">
          <a:extLst>
            <a:ext uri="{FF2B5EF4-FFF2-40B4-BE49-F238E27FC236}">
              <a16:creationId xmlns:a16="http://schemas.microsoft.com/office/drawing/2014/main" id="{00000000-0008-0000-0100-0000EB300200}"/>
            </a:ext>
          </a:extLst>
        </xdr:cNvPr>
        <xdr:cNvCxnSpPr/>
      </xdr:nvCxnSpPr>
      <xdr:spPr>
        <a:xfrm>
          <a:off x="17346168" y="805434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254508</xdr:colOff>
      <xdr:row>50</xdr:row>
      <xdr:rowOff>19050</xdr:rowOff>
    </xdr:from>
    <xdr:to>
      <xdr:col>33</xdr:col>
      <xdr:colOff>467868</xdr:colOff>
      <xdr:row>50</xdr:row>
      <xdr:rowOff>133350</xdr:rowOff>
    </xdr:to>
    <xdr:sp macro="" textlink="">
      <xdr:nvSpPr>
        <xdr:cNvPr id="143596" name="47">
          <a:extLst>
            <a:ext uri="{FF2B5EF4-FFF2-40B4-BE49-F238E27FC236}">
              <a16:creationId xmlns:a16="http://schemas.microsoft.com/office/drawing/2014/main" id="{00000000-0008-0000-0100-0000EC300200}"/>
            </a:ext>
          </a:extLst>
        </xdr:cNvPr>
        <xdr:cNvSpPr/>
      </xdr:nvSpPr>
      <xdr:spPr>
        <a:xfrm>
          <a:off x="17346168" y="7844790"/>
          <a:ext cx="2133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254508</xdr:colOff>
      <xdr:row>50</xdr:row>
      <xdr:rowOff>76200</xdr:rowOff>
    </xdr:from>
    <xdr:to>
      <xdr:col>33</xdr:col>
      <xdr:colOff>254508</xdr:colOff>
      <xdr:row>50</xdr:row>
      <xdr:rowOff>76200</xdr:rowOff>
    </xdr:to>
    <xdr:cxnSp macro="">
      <xdr:nvCxnSpPr>
        <xdr:cNvPr id="143597" name="직선 화살표 연결선 143596">
          <a:extLst>
            <a:ext uri="{FF2B5EF4-FFF2-40B4-BE49-F238E27FC236}">
              <a16:creationId xmlns:a16="http://schemas.microsoft.com/office/drawing/2014/main" id="{00000000-0008-0000-0100-0000ED300200}"/>
            </a:ext>
          </a:extLst>
        </xdr:cNvPr>
        <xdr:cNvCxnSpPr/>
      </xdr:nvCxnSpPr>
      <xdr:spPr>
        <a:xfrm>
          <a:off x="17346168" y="790194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254508</xdr:colOff>
      <xdr:row>49</xdr:row>
      <xdr:rowOff>19050</xdr:rowOff>
    </xdr:from>
    <xdr:to>
      <xdr:col>33</xdr:col>
      <xdr:colOff>467868</xdr:colOff>
      <xdr:row>49</xdr:row>
      <xdr:rowOff>133350</xdr:rowOff>
    </xdr:to>
    <xdr:sp macro="" textlink="">
      <xdr:nvSpPr>
        <xdr:cNvPr id="143598" name="46">
          <a:extLst>
            <a:ext uri="{FF2B5EF4-FFF2-40B4-BE49-F238E27FC236}">
              <a16:creationId xmlns:a16="http://schemas.microsoft.com/office/drawing/2014/main" id="{00000000-0008-0000-0100-0000EE300200}"/>
            </a:ext>
          </a:extLst>
        </xdr:cNvPr>
        <xdr:cNvSpPr/>
      </xdr:nvSpPr>
      <xdr:spPr>
        <a:xfrm>
          <a:off x="17346168" y="7692390"/>
          <a:ext cx="2133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254508</xdr:colOff>
      <xdr:row>49</xdr:row>
      <xdr:rowOff>76200</xdr:rowOff>
    </xdr:from>
    <xdr:to>
      <xdr:col>33</xdr:col>
      <xdr:colOff>254508</xdr:colOff>
      <xdr:row>49</xdr:row>
      <xdr:rowOff>76200</xdr:rowOff>
    </xdr:to>
    <xdr:cxnSp macro="">
      <xdr:nvCxnSpPr>
        <xdr:cNvPr id="143599" name="직선 화살표 연결선 143598">
          <a:extLst>
            <a:ext uri="{FF2B5EF4-FFF2-40B4-BE49-F238E27FC236}">
              <a16:creationId xmlns:a16="http://schemas.microsoft.com/office/drawing/2014/main" id="{00000000-0008-0000-0100-0000EF300200}"/>
            </a:ext>
          </a:extLst>
        </xdr:cNvPr>
        <xdr:cNvCxnSpPr/>
      </xdr:nvCxnSpPr>
      <xdr:spPr>
        <a:xfrm>
          <a:off x="17346168" y="774954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1231490</xdr:colOff>
      <xdr:row>48</xdr:row>
      <xdr:rowOff>19050</xdr:rowOff>
    </xdr:from>
    <xdr:to>
      <xdr:col>33</xdr:col>
      <xdr:colOff>467868</xdr:colOff>
      <xdr:row>48</xdr:row>
      <xdr:rowOff>133350</xdr:rowOff>
    </xdr:to>
    <xdr:sp macro="" textlink="">
      <xdr:nvSpPr>
        <xdr:cNvPr id="143600" name="45">
          <a:extLst>
            <a:ext uri="{FF2B5EF4-FFF2-40B4-BE49-F238E27FC236}">
              <a16:creationId xmlns:a16="http://schemas.microsoft.com/office/drawing/2014/main" id="{00000000-0008-0000-0100-0000F0300200}"/>
            </a:ext>
          </a:extLst>
        </xdr:cNvPr>
        <xdr:cNvSpPr/>
      </xdr:nvSpPr>
      <xdr:spPr>
        <a:xfrm>
          <a:off x="17050610" y="7539990"/>
          <a:ext cx="50891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1231490</xdr:colOff>
      <xdr:row>48</xdr:row>
      <xdr:rowOff>76200</xdr:rowOff>
    </xdr:from>
    <xdr:to>
      <xdr:col>32</xdr:col>
      <xdr:colOff>1231490</xdr:colOff>
      <xdr:row>48</xdr:row>
      <xdr:rowOff>76200</xdr:rowOff>
    </xdr:to>
    <xdr:cxnSp macro="">
      <xdr:nvCxnSpPr>
        <xdr:cNvPr id="143601" name="직선 화살표 연결선 143600">
          <a:extLst>
            <a:ext uri="{FF2B5EF4-FFF2-40B4-BE49-F238E27FC236}">
              <a16:creationId xmlns:a16="http://schemas.microsoft.com/office/drawing/2014/main" id="{00000000-0008-0000-0100-0000F1300200}"/>
            </a:ext>
          </a:extLst>
        </xdr:cNvPr>
        <xdr:cNvCxnSpPr/>
      </xdr:nvCxnSpPr>
      <xdr:spPr>
        <a:xfrm>
          <a:off x="17050610" y="759714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1231490</xdr:colOff>
      <xdr:row>47</xdr:row>
      <xdr:rowOff>19050</xdr:rowOff>
    </xdr:from>
    <xdr:to>
      <xdr:col>33</xdr:col>
      <xdr:colOff>467868</xdr:colOff>
      <xdr:row>47</xdr:row>
      <xdr:rowOff>133350</xdr:rowOff>
    </xdr:to>
    <xdr:sp macro="" textlink="">
      <xdr:nvSpPr>
        <xdr:cNvPr id="143602" name="44">
          <a:extLst>
            <a:ext uri="{FF2B5EF4-FFF2-40B4-BE49-F238E27FC236}">
              <a16:creationId xmlns:a16="http://schemas.microsoft.com/office/drawing/2014/main" id="{00000000-0008-0000-0100-0000F2300200}"/>
            </a:ext>
          </a:extLst>
        </xdr:cNvPr>
        <xdr:cNvSpPr/>
      </xdr:nvSpPr>
      <xdr:spPr>
        <a:xfrm>
          <a:off x="17050610" y="7387590"/>
          <a:ext cx="50891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1231490</xdr:colOff>
      <xdr:row>47</xdr:row>
      <xdr:rowOff>76200</xdr:rowOff>
    </xdr:from>
    <xdr:to>
      <xdr:col>32</xdr:col>
      <xdr:colOff>1231490</xdr:colOff>
      <xdr:row>47</xdr:row>
      <xdr:rowOff>76200</xdr:rowOff>
    </xdr:to>
    <xdr:cxnSp macro="">
      <xdr:nvCxnSpPr>
        <xdr:cNvPr id="143603" name="직선 화살표 연결선 143602">
          <a:extLst>
            <a:ext uri="{FF2B5EF4-FFF2-40B4-BE49-F238E27FC236}">
              <a16:creationId xmlns:a16="http://schemas.microsoft.com/office/drawing/2014/main" id="{00000000-0008-0000-0100-0000F3300200}"/>
            </a:ext>
          </a:extLst>
        </xdr:cNvPr>
        <xdr:cNvCxnSpPr/>
      </xdr:nvCxnSpPr>
      <xdr:spPr>
        <a:xfrm>
          <a:off x="17050610" y="744474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164199</xdr:colOff>
      <xdr:row>46</xdr:row>
      <xdr:rowOff>19050</xdr:rowOff>
    </xdr:from>
    <xdr:to>
      <xdr:col>34</xdr:col>
      <xdr:colOff>370717</xdr:colOff>
      <xdr:row>46</xdr:row>
      <xdr:rowOff>133350</xdr:rowOff>
    </xdr:to>
    <xdr:sp macro="" textlink="">
      <xdr:nvSpPr>
        <xdr:cNvPr id="143604" name="43">
          <a:extLst>
            <a:ext uri="{FF2B5EF4-FFF2-40B4-BE49-F238E27FC236}">
              <a16:creationId xmlns:a16="http://schemas.microsoft.com/office/drawing/2014/main" id="{00000000-0008-0000-0100-0000F4300200}"/>
            </a:ext>
          </a:extLst>
        </xdr:cNvPr>
        <xdr:cNvSpPr/>
      </xdr:nvSpPr>
      <xdr:spPr>
        <a:xfrm>
          <a:off x="18528399" y="7235190"/>
          <a:ext cx="20651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164199</xdr:colOff>
      <xdr:row>46</xdr:row>
      <xdr:rowOff>76200</xdr:rowOff>
    </xdr:from>
    <xdr:to>
      <xdr:col>34</xdr:col>
      <xdr:colOff>164199</xdr:colOff>
      <xdr:row>46</xdr:row>
      <xdr:rowOff>76200</xdr:rowOff>
    </xdr:to>
    <xdr:cxnSp macro="">
      <xdr:nvCxnSpPr>
        <xdr:cNvPr id="143605" name="직선 화살표 연결선 143604">
          <a:extLst>
            <a:ext uri="{FF2B5EF4-FFF2-40B4-BE49-F238E27FC236}">
              <a16:creationId xmlns:a16="http://schemas.microsoft.com/office/drawing/2014/main" id="{00000000-0008-0000-0100-0000F5300200}"/>
            </a:ext>
          </a:extLst>
        </xdr:cNvPr>
        <xdr:cNvCxnSpPr/>
      </xdr:nvCxnSpPr>
      <xdr:spPr>
        <a:xfrm>
          <a:off x="18528399" y="729234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254508</xdr:colOff>
      <xdr:row>45</xdr:row>
      <xdr:rowOff>19050</xdr:rowOff>
    </xdr:from>
    <xdr:to>
      <xdr:col>33</xdr:col>
      <xdr:colOff>467868</xdr:colOff>
      <xdr:row>45</xdr:row>
      <xdr:rowOff>133350</xdr:rowOff>
    </xdr:to>
    <xdr:sp macro="" textlink="">
      <xdr:nvSpPr>
        <xdr:cNvPr id="143606" name="42">
          <a:extLst>
            <a:ext uri="{FF2B5EF4-FFF2-40B4-BE49-F238E27FC236}">
              <a16:creationId xmlns:a16="http://schemas.microsoft.com/office/drawing/2014/main" id="{00000000-0008-0000-0100-0000F6300200}"/>
            </a:ext>
          </a:extLst>
        </xdr:cNvPr>
        <xdr:cNvSpPr/>
      </xdr:nvSpPr>
      <xdr:spPr>
        <a:xfrm>
          <a:off x="17346168" y="7082790"/>
          <a:ext cx="2133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254508</xdr:colOff>
      <xdr:row>45</xdr:row>
      <xdr:rowOff>76200</xdr:rowOff>
    </xdr:from>
    <xdr:to>
      <xdr:col>33</xdr:col>
      <xdr:colOff>360552</xdr:colOff>
      <xdr:row>45</xdr:row>
      <xdr:rowOff>76200</xdr:rowOff>
    </xdr:to>
    <xdr:cxnSp macro="">
      <xdr:nvCxnSpPr>
        <xdr:cNvPr id="143607" name="직선 화살표 연결선 143606">
          <a:extLst>
            <a:ext uri="{FF2B5EF4-FFF2-40B4-BE49-F238E27FC236}">
              <a16:creationId xmlns:a16="http://schemas.microsoft.com/office/drawing/2014/main" id="{00000000-0008-0000-0100-0000F7300200}"/>
            </a:ext>
          </a:extLst>
        </xdr:cNvPr>
        <xdr:cNvCxnSpPr/>
      </xdr:nvCxnSpPr>
      <xdr:spPr>
        <a:xfrm>
          <a:off x="17346168" y="7139940"/>
          <a:ext cx="10604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944142</xdr:colOff>
      <xdr:row>44</xdr:row>
      <xdr:rowOff>19050</xdr:rowOff>
    </xdr:from>
    <xdr:to>
      <xdr:col>33</xdr:col>
      <xdr:colOff>764794</xdr:colOff>
      <xdr:row>44</xdr:row>
      <xdr:rowOff>133350</xdr:rowOff>
    </xdr:to>
    <xdr:sp macro="" textlink="">
      <xdr:nvSpPr>
        <xdr:cNvPr id="143608" name="41">
          <a:extLst>
            <a:ext uri="{FF2B5EF4-FFF2-40B4-BE49-F238E27FC236}">
              <a16:creationId xmlns:a16="http://schemas.microsoft.com/office/drawing/2014/main" id="{00000000-0008-0000-0100-0000F8300200}"/>
            </a:ext>
          </a:extLst>
        </xdr:cNvPr>
        <xdr:cNvSpPr/>
      </xdr:nvSpPr>
      <xdr:spPr>
        <a:xfrm>
          <a:off x="16763262" y="6930390"/>
          <a:ext cx="109319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944142</xdr:colOff>
      <xdr:row>44</xdr:row>
      <xdr:rowOff>76200</xdr:rowOff>
    </xdr:from>
    <xdr:to>
      <xdr:col>33</xdr:col>
      <xdr:colOff>435948</xdr:colOff>
      <xdr:row>44</xdr:row>
      <xdr:rowOff>76200</xdr:rowOff>
    </xdr:to>
    <xdr:cxnSp macro="">
      <xdr:nvCxnSpPr>
        <xdr:cNvPr id="143609" name="직선 화살표 연결선 143608">
          <a:extLst>
            <a:ext uri="{FF2B5EF4-FFF2-40B4-BE49-F238E27FC236}">
              <a16:creationId xmlns:a16="http://schemas.microsoft.com/office/drawing/2014/main" id="{00000000-0008-0000-0100-0000F9300200}"/>
            </a:ext>
          </a:extLst>
        </xdr:cNvPr>
        <xdr:cNvCxnSpPr/>
      </xdr:nvCxnSpPr>
      <xdr:spPr>
        <a:xfrm>
          <a:off x="16763262" y="6987540"/>
          <a:ext cx="76434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944142</xdr:colOff>
      <xdr:row>43</xdr:row>
      <xdr:rowOff>19050</xdr:rowOff>
    </xdr:from>
    <xdr:to>
      <xdr:col>33</xdr:col>
      <xdr:colOff>764794</xdr:colOff>
      <xdr:row>43</xdr:row>
      <xdr:rowOff>133350</xdr:rowOff>
    </xdr:to>
    <xdr:sp macro="" textlink="">
      <xdr:nvSpPr>
        <xdr:cNvPr id="143610" name="40">
          <a:extLst>
            <a:ext uri="{FF2B5EF4-FFF2-40B4-BE49-F238E27FC236}">
              <a16:creationId xmlns:a16="http://schemas.microsoft.com/office/drawing/2014/main" id="{00000000-0008-0000-0100-0000FA300200}"/>
            </a:ext>
          </a:extLst>
        </xdr:cNvPr>
        <xdr:cNvSpPr/>
      </xdr:nvSpPr>
      <xdr:spPr>
        <a:xfrm>
          <a:off x="16763262" y="6777990"/>
          <a:ext cx="109319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944142</xdr:colOff>
      <xdr:row>43</xdr:row>
      <xdr:rowOff>76200</xdr:rowOff>
    </xdr:from>
    <xdr:to>
      <xdr:col>33</xdr:col>
      <xdr:colOff>763525</xdr:colOff>
      <xdr:row>43</xdr:row>
      <xdr:rowOff>76200</xdr:rowOff>
    </xdr:to>
    <xdr:cxnSp macro="">
      <xdr:nvCxnSpPr>
        <xdr:cNvPr id="143611" name="직선 화살표 연결선 143610">
          <a:extLst>
            <a:ext uri="{FF2B5EF4-FFF2-40B4-BE49-F238E27FC236}">
              <a16:creationId xmlns:a16="http://schemas.microsoft.com/office/drawing/2014/main" id="{00000000-0008-0000-0100-0000FB300200}"/>
            </a:ext>
          </a:extLst>
        </xdr:cNvPr>
        <xdr:cNvCxnSpPr/>
      </xdr:nvCxnSpPr>
      <xdr:spPr>
        <a:xfrm>
          <a:off x="16763262" y="6835140"/>
          <a:ext cx="109192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1231490</xdr:colOff>
      <xdr:row>42</xdr:row>
      <xdr:rowOff>19050</xdr:rowOff>
    </xdr:from>
    <xdr:to>
      <xdr:col>33</xdr:col>
      <xdr:colOff>764794</xdr:colOff>
      <xdr:row>42</xdr:row>
      <xdr:rowOff>133350</xdr:rowOff>
    </xdr:to>
    <xdr:sp macro="" textlink="">
      <xdr:nvSpPr>
        <xdr:cNvPr id="143612" name="39">
          <a:extLst>
            <a:ext uri="{FF2B5EF4-FFF2-40B4-BE49-F238E27FC236}">
              <a16:creationId xmlns:a16="http://schemas.microsoft.com/office/drawing/2014/main" id="{00000000-0008-0000-0100-0000FC300200}"/>
            </a:ext>
          </a:extLst>
        </xdr:cNvPr>
        <xdr:cNvSpPr/>
      </xdr:nvSpPr>
      <xdr:spPr>
        <a:xfrm>
          <a:off x="17050610" y="6625590"/>
          <a:ext cx="8058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1231490</xdr:colOff>
      <xdr:row>42</xdr:row>
      <xdr:rowOff>76200</xdr:rowOff>
    </xdr:from>
    <xdr:to>
      <xdr:col>33</xdr:col>
      <xdr:colOff>361237</xdr:colOff>
      <xdr:row>42</xdr:row>
      <xdr:rowOff>76200</xdr:rowOff>
    </xdr:to>
    <xdr:cxnSp macro="">
      <xdr:nvCxnSpPr>
        <xdr:cNvPr id="143613" name="직선 화살표 연결선 143612">
          <a:extLst>
            <a:ext uri="{FF2B5EF4-FFF2-40B4-BE49-F238E27FC236}">
              <a16:creationId xmlns:a16="http://schemas.microsoft.com/office/drawing/2014/main" id="{00000000-0008-0000-0100-0000FD300200}"/>
            </a:ext>
          </a:extLst>
        </xdr:cNvPr>
        <xdr:cNvCxnSpPr/>
      </xdr:nvCxnSpPr>
      <xdr:spPr>
        <a:xfrm>
          <a:off x="17050610" y="6682740"/>
          <a:ext cx="40228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369447</xdr:colOff>
      <xdr:row>41</xdr:row>
      <xdr:rowOff>19050</xdr:rowOff>
    </xdr:from>
    <xdr:to>
      <xdr:col>32</xdr:col>
      <xdr:colOff>863313</xdr:colOff>
      <xdr:row>41</xdr:row>
      <xdr:rowOff>133350</xdr:rowOff>
    </xdr:to>
    <xdr:sp macro="" textlink="">
      <xdr:nvSpPr>
        <xdr:cNvPr id="143614" name="38">
          <a:extLst>
            <a:ext uri="{FF2B5EF4-FFF2-40B4-BE49-F238E27FC236}">
              <a16:creationId xmlns:a16="http://schemas.microsoft.com/office/drawing/2014/main" id="{00000000-0008-0000-0100-0000FE300200}"/>
            </a:ext>
          </a:extLst>
        </xdr:cNvPr>
        <xdr:cNvSpPr/>
      </xdr:nvSpPr>
      <xdr:spPr>
        <a:xfrm>
          <a:off x="16188567" y="6473190"/>
          <a:ext cx="4938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369447</xdr:colOff>
      <xdr:row>41</xdr:row>
      <xdr:rowOff>76200</xdr:rowOff>
    </xdr:from>
    <xdr:to>
      <xdr:col>32</xdr:col>
      <xdr:colOff>862043</xdr:colOff>
      <xdr:row>41</xdr:row>
      <xdr:rowOff>76200</xdr:rowOff>
    </xdr:to>
    <xdr:cxnSp macro="">
      <xdr:nvCxnSpPr>
        <xdr:cNvPr id="143615" name="직선 화살표 연결선 143614">
          <a:extLst>
            <a:ext uri="{FF2B5EF4-FFF2-40B4-BE49-F238E27FC236}">
              <a16:creationId xmlns:a16="http://schemas.microsoft.com/office/drawing/2014/main" id="{00000000-0008-0000-0100-0000FF300200}"/>
            </a:ext>
          </a:extLst>
        </xdr:cNvPr>
        <xdr:cNvCxnSpPr/>
      </xdr:nvCxnSpPr>
      <xdr:spPr>
        <a:xfrm>
          <a:off x="16188567" y="6530340"/>
          <a:ext cx="49259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369447</xdr:colOff>
      <xdr:row>40</xdr:row>
      <xdr:rowOff>19050</xdr:rowOff>
    </xdr:from>
    <xdr:to>
      <xdr:col>34</xdr:col>
      <xdr:colOff>370717</xdr:colOff>
      <xdr:row>40</xdr:row>
      <xdr:rowOff>133350</xdr:rowOff>
    </xdr:to>
    <xdr:sp macro="" textlink="">
      <xdr:nvSpPr>
        <xdr:cNvPr id="143616" name="37">
          <a:extLst>
            <a:ext uri="{FF2B5EF4-FFF2-40B4-BE49-F238E27FC236}">
              <a16:creationId xmlns:a16="http://schemas.microsoft.com/office/drawing/2014/main" id="{00000000-0008-0000-0100-000000310200}"/>
            </a:ext>
          </a:extLst>
        </xdr:cNvPr>
        <xdr:cNvSpPr/>
      </xdr:nvSpPr>
      <xdr:spPr>
        <a:xfrm>
          <a:off x="16188567" y="6320790"/>
          <a:ext cx="254635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369447</xdr:colOff>
      <xdr:row>40</xdr:row>
      <xdr:rowOff>76200</xdr:rowOff>
    </xdr:from>
    <xdr:to>
      <xdr:col>33</xdr:col>
      <xdr:colOff>919735</xdr:colOff>
      <xdr:row>40</xdr:row>
      <xdr:rowOff>76200</xdr:rowOff>
    </xdr:to>
    <xdr:cxnSp macro="">
      <xdr:nvCxnSpPr>
        <xdr:cNvPr id="143617" name="직선 화살표 연결선 143616">
          <a:extLst>
            <a:ext uri="{FF2B5EF4-FFF2-40B4-BE49-F238E27FC236}">
              <a16:creationId xmlns:a16="http://schemas.microsoft.com/office/drawing/2014/main" id="{00000000-0008-0000-0100-000001310200}"/>
            </a:ext>
          </a:extLst>
        </xdr:cNvPr>
        <xdr:cNvCxnSpPr/>
      </xdr:nvCxnSpPr>
      <xdr:spPr>
        <a:xfrm>
          <a:off x="16188567" y="6377940"/>
          <a:ext cx="18228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1145286</xdr:colOff>
      <xdr:row>39</xdr:row>
      <xdr:rowOff>19050</xdr:rowOff>
    </xdr:from>
    <xdr:to>
      <xdr:col>34</xdr:col>
      <xdr:colOff>83369</xdr:colOff>
      <xdr:row>39</xdr:row>
      <xdr:rowOff>133350</xdr:rowOff>
    </xdr:to>
    <xdr:sp macro="" textlink="">
      <xdr:nvSpPr>
        <xdr:cNvPr id="143618" name="36">
          <a:extLst>
            <a:ext uri="{FF2B5EF4-FFF2-40B4-BE49-F238E27FC236}">
              <a16:creationId xmlns:a16="http://schemas.microsoft.com/office/drawing/2014/main" id="{00000000-0008-0000-0100-000002310200}"/>
            </a:ext>
          </a:extLst>
        </xdr:cNvPr>
        <xdr:cNvSpPr/>
      </xdr:nvSpPr>
      <xdr:spPr>
        <a:xfrm>
          <a:off x="18236946" y="6168390"/>
          <a:ext cx="2106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1145286</xdr:colOff>
      <xdr:row>39</xdr:row>
      <xdr:rowOff>76200</xdr:rowOff>
    </xdr:from>
    <xdr:to>
      <xdr:col>33</xdr:col>
      <xdr:colOff>1145286</xdr:colOff>
      <xdr:row>39</xdr:row>
      <xdr:rowOff>76200</xdr:rowOff>
    </xdr:to>
    <xdr:cxnSp macro="">
      <xdr:nvCxnSpPr>
        <xdr:cNvPr id="143619" name="직선 화살표 연결선 143618">
          <a:extLst>
            <a:ext uri="{FF2B5EF4-FFF2-40B4-BE49-F238E27FC236}">
              <a16:creationId xmlns:a16="http://schemas.microsoft.com/office/drawing/2014/main" id="{00000000-0008-0000-0100-000003310200}"/>
            </a:ext>
          </a:extLst>
        </xdr:cNvPr>
        <xdr:cNvCxnSpPr/>
      </xdr:nvCxnSpPr>
      <xdr:spPr>
        <a:xfrm>
          <a:off x="18236946" y="622554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82100</xdr:colOff>
      <xdr:row>38</xdr:row>
      <xdr:rowOff>19050</xdr:rowOff>
    </xdr:from>
    <xdr:to>
      <xdr:col>33</xdr:col>
      <xdr:colOff>764794</xdr:colOff>
      <xdr:row>38</xdr:row>
      <xdr:rowOff>133350</xdr:rowOff>
    </xdr:to>
    <xdr:sp macro="" textlink="">
      <xdr:nvSpPr>
        <xdr:cNvPr id="143620" name="35">
          <a:extLst>
            <a:ext uri="{FF2B5EF4-FFF2-40B4-BE49-F238E27FC236}">
              <a16:creationId xmlns:a16="http://schemas.microsoft.com/office/drawing/2014/main" id="{00000000-0008-0000-0100-000004310200}"/>
            </a:ext>
          </a:extLst>
        </xdr:cNvPr>
        <xdr:cNvSpPr/>
      </xdr:nvSpPr>
      <xdr:spPr>
        <a:xfrm>
          <a:off x="15901220" y="6015990"/>
          <a:ext cx="195523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82100</xdr:colOff>
      <xdr:row>38</xdr:row>
      <xdr:rowOff>76200</xdr:rowOff>
    </xdr:from>
    <xdr:to>
      <xdr:col>33</xdr:col>
      <xdr:colOff>177336</xdr:colOff>
      <xdr:row>38</xdr:row>
      <xdr:rowOff>76200</xdr:rowOff>
    </xdr:to>
    <xdr:cxnSp macro="">
      <xdr:nvCxnSpPr>
        <xdr:cNvPr id="143621" name="직선 화살표 연결선 143620">
          <a:extLst>
            <a:ext uri="{FF2B5EF4-FFF2-40B4-BE49-F238E27FC236}">
              <a16:creationId xmlns:a16="http://schemas.microsoft.com/office/drawing/2014/main" id="{00000000-0008-0000-0100-000005310200}"/>
            </a:ext>
          </a:extLst>
        </xdr:cNvPr>
        <xdr:cNvCxnSpPr/>
      </xdr:nvCxnSpPr>
      <xdr:spPr>
        <a:xfrm>
          <a:off x="15901220" y="6073140"/>
          <a:ext cx="136777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82100</xdr:colOff>
      <xdr:row>37</xdr:row>
      <xdr:rowOff>19050</xdr:rowOff>
    </xdr:from>
    <xdr:to>
      <xdr:col>32</xdr:col>
      <xdr:colOff>288618</xdr:colOff>
      <xdr:row>37</xdr:row>
      <xdr:rowOff>133350</xdr:rowOff>
    </xdr:to>
    <xdr:sp macro="" textlink="">
      <xdr:nvSpPr>
        <xdr:cNvPr id="143622" name="34">
          <a:extLst>
            <a:ext uri="{FF2B5EF4-FFF2-40B4-BE49-F238E27FC236}">
              <a16:creationId xmlns:a16="http://schemas.microsoft.com/office/drawing/2014/main" id="{00000000-0008-0000-0100-000006310200}"/>
            </a:ext>
          </a:extLst>
        </xdr:cNvPr>
        <xdr:cNvSpPr/>
      </xdr:nvSpPr>
      <xdr:spPr>
        <a:xfrm>
          <a:off x="15901220" y="5863590"/>
          <a:ext cx="20651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82100</xdr:colOff>
      <xdr:row>37</xdr:row>
      <xdr:rowOff>76200</xdr:rowOff>
    </xdr:from>
    <xdr:to>
      <xdr:col>32</xdr:col>
      <xdr:colOff>287348</xdr:colOff>
      <xdr:row>37</xdr:row>
      <xdr:rowOff>76200</xdr:rowOff>
    </xdr:to>
    <xdr:cxnSp macro="">
      <xdr:nvCxnSpPr>
        <xdr:cNvPr id="143623" name="직선 화살표 연결선 143622">
          <a:extLst>
            <a:ext uri="{FF2B5EF4-FFF2-40B4-BE49-F238E27FC236}">
              <a16:creationId xmlns:a16="http://schemas.microsoft.com/office/drawing/2014/main" id="{00000000-0008-0000-0100-000007310200}"/>
            </a:ext>
          </a:extLst>
        </xdr:cNvPr>
        <xdr:cNvCxnSpPr/>
      </xdr:nvCxnSpPr>
      <xdr:spPr>
        <a:xfrm>
          <a:off x="15901220" y="5920740"/>
          <a:ext cx="2052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763524</xdr:colOff>
      <xdr:row>36</xdr:row>
      <xdr:rowOff>19050</xdr:rowOff>
    </xdr:from>
    <xdr:to>
      <xdr:col>34</xdr:col>
      <xdr:colOff>83369</xdr:colOff>
      <xdr:row>36</xdr:row>
      <xdr:rowOff>133350</xdr:rowOff>
    </xdr:to>
    <xdr:sp macro="" textlink="">
      <xdr:nvSpPr>
        <xdr:cNvPr id="143624" name="33">
          <a:extLst>
            <a:ext uri="{FF2B5EF4-FFF2-40B4-BE49-F238E27FC236}">
              <a16:creationId xmlns:a16="http://schemas.microsoft.com/office/drawing/2014/main" id="{00000000-0008-0000-0100-000008310200}"/>
            </a:ext>
          </a:extLst>
        </xdr:cNvPr>
        <xdr:cNvSpPr/>
      </xdr:nvSpPr>
      <xdr:spPr>
        <a:xfrm>
          <a:off x="15310104" y="5711190"/>
          <a:ext cx="31374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763524</xdr:colOff>
      <xdr:row>36</xdr:row>
      <xdr:rowOff>76200</xdr:rowOff>
    </xdr:from>
    <xdr:to>
      <xdr:col>31</xdr:col>
      <xdr:colOff>1077144</xdr:colOff>
      <xdr:row>36</xdr:row>
      <xdr:rowOff>76200</xdr:rowOff>
    </xdr:to>
    <xdr:cxnSp macro="">
      <xdr:nvCxnSpPr>
        <xdr:cNvPr id="143625" name="직선 화살표 연결선 143624">
          <a:extLst>
            <a:ext uri="{FF2B5EF4-FFF2-40B4-BE49-F238E27FC236}">
              <a16:creationId xmlns:a16="http://schemas.microsoft.com/office/drawing/2014/main" id="{00000000-0008-0000-0100-000009310200}"/>
            </a:ext>
          </a:extLst>
        </xdr:cNvPr>
        <xdr:cNvCxnSpPr/>
      </xdr:nvCxnSpPr>
      <xdr:spPr>
        <a:xfrm>
          <a:off x="15310104" y="5768340"/>
          <a:ext cx="3136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763524</xdr:colOff>
      <xdr:row>35</xdr:row>
      <xdr:rowOff>19050</xdr:rowOff>
    </xdr:from>
    <xdr:to>
      <xdr:col>31</xdr:col>
      <xdr:colOff>976883</xdr:colOff>
      <xdr:row>35</xdr:row>
      <xdr:rowOff>133350</xdr:rowOff>
    </xdr:to>
    <xdr:sp macro="" textlink="">
      <xdr:nvSpPr>
        <xdr:cNvPr id="143626" name="32">
          <a:extLst>
            <a:ext uri="{FF2B5EF4-FFF2-40B4-BE49-F238E27FC236}">
              <a16:creationId xmlns:a16="http://schemas.microsoft.com/office/drawing/2014/main" id="{00000000-0008-0000-0100-00000A310200}"/>
            </a:ext>
          </a:extLst>
        </xdr:cNvPr>
        <xdr:cNvSpPr/>
      </xdr:nvSpPr>
      <xdr:spPr>
        <a:xfrm>
          <a:off x="15310104" y="5558790"/>
          <a:ext cx="21335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763524</xdr:colOff>
      <xdr:row>35</xdr:row>
      <xdr:rowOff>76200</xdr:rowOff>
    </xdr:from>
    <xdr:to>
      <xdr:col>31</xdr:col>
      <xdr:colOff>975614</xdr:colOff>
      <xdr:row>35</xdr:row>
      <xdr:rowOff>76200</xdr:rowOff>
    </xdr:to>
    <xdr:cxnSp macro="">
      <xdr:nvCxnSpPr>
        <xdr:cNvPr id="143627" name="직선 화살표 연결선 143626">
          <a:extLst>
            <a:ext uri="{FF2B5EF4-FFF2-40B4-BE49-F238E27FC236}">
              <a16:creationId xmlns:a16="http://schemas.microsoft.com/office/drawing/2014/main" id="{00000000-0008-0000-0100-00000B310200}"/>
            </a:ext>
          </a:extLst>
        </xdr:cNvPr>
        <xdr:cNvCxnSpPr/>
      </xdr:nvCxnSpPr>
      <xdr:spPr>
        <a:xfrm>
          <a:off x="15310104" y="5615940"/>
          <a:ext cx="21209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763524</xdr:colOff>
      <xdr:row>34</xdr:row>
      <xdr:rowOff>19050</xdr:rowOff>
    </xdr:from>
    <xdr:to>
      <xdr:col>34</xdr:col>
      <xdr:colOff>83369</xdr:colOff>
      <xdr:row>34</xdr:row>
      <xdr:rowOff>133350</xdr:rowOff>
    </xdr:to>
    <xdr:sp macro="" textlink="">
      <xdr:nvSpPr>
        <xdr:cNvPr id="143628" name="31">
          <a:extLst>
            <a:ext uri="{FF2B5EF4-FFF2-40B4-BE49-F238E27FC236}">
              <a16:creationId xmlns:a16="http://schemas.microsoft.com/office/drawing/2014/main" id="{00000000-0008-0000-0100-00000C310200}"/>
            </a:ext>
          </a:extLst>
        </xdr:cNvPr>
        <xdr:cNvSpPr/>
      </xdr:nvSpPr>
      <xdr:spPr>
        <a:xfrm>
          <a:off x="15310104" y="5406390"/>
          <a:ext cx="31374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763524</xdr:colOff>
      <xdr:row>34</xdr:row>
      <xdr:rowOff>76200</xdr:rowOff>
    </xdr:from>
    <xdr:to>
      <xdr:col>32</xdr:col>
      <xdr:colOff>842399</xdr:colOff>
      <xdr:row>34</xdr:row>
      <xdr:rowOff>76200</xdr:rowOff>
    </xdr:to>
    <xdr:cxnSp macro="">
      <xdr:nvCxnSpPr>
        <xdr:cNvPr id="143629" name="직선 화살표 연결선 143628">
          <a:extLst>
            <a:ext uri="{FF2B5EF4-FFF2-40B4-BE49-F238E27FC236}">
              <a16:creationId xmlns:a16="http://schemas.microsoft.com/office/drawing/2014/main" id="{00000000-0008-0000-0100-00000D310200}"/>
            </a:ext>
          </a:extLst>
        </xdr:cNvPr>
        <xdr:cNvCxnSpPr/>
      </xdr:nvCxnSpPr>
      <xdr:spPr>
        <a:xfrm>
          <a:off x="15310104" y="5463540"/>
          <a:ext cx="135141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763524</xdr:colOff>
      <xdr:row>33</xdr:row>
      <xdr:rowOff>19050</xdr:rowOff>
    </xdr:from>
    <xdr:to>
      <xdr:col>34</xdr:col>
      <xdr:colOff>658065</xdr:colOff>
      <xdr:row>33</xdr:row>
      <xdr:rowOff>133350</xdr:rowOff>
    </xdr:to>
    <xdr:sp macro="" textlink="">
      <xdr:nvSpPr>
        <xdr:cNvPr id="143630" name="30">
          <a:extLst>
            <a:ext uri="{FF2B5EF4-FFF2-40B4-BE49-F238E27FC236}">
              <a16:creationId xmlns:a16="http://schemas.microsoft.com/office/drawing/2014/main" id="{00000000-0008-0000-0100-00000E310200}"/>
            </a:ext>
          </a:extLst>
        </xdr:cNvPr>
        <xdr:cNvSpPr/>
      </xdr:nvSpPr>
      <xdr:spPr>
        <a:xfrm>
          <a:off x="15310104" y="5253990"/>
          <a:ext cx="371216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763524</xdr:colOff>
      <xdr:row>33</xdr:row>
      <xdr:rowOff>76200</xdr:rowOff>
    </xdr:from>
    <xdr:to>
      <xdr:col>32</xdr:col>
      <xdr:colOff>771768</xdr:colOff>
      <xdr:row>33</xdr:row>
      <xdr:rowOff>76200</xdr:rowOff>
    </xdr:to>
    <xdr:cxnSp macro="">
      <xdr:nvCxnSpPr>
        <xdr:cNvPr id="143631" name="직선 화살표 연결선 143630">
          <a:extLst>
            <a:ext uri="{FF2B5EF4-FFF2-40B4-BE49-F238E27FC236}">
              <a16:creationId xmlns:a16="http://schemas.microsoft.com/office/drawing/2014/main" id="{00000000-0008-0000-0100-00000F310200}"/>
            </a:ext>
          </a:extLst>
        </xdr:cNvPr>
        <xdr:cNvCxnSpPr/>
      </xdr:nvCxnSpPr>
      <xdr:spPr>
        <a:xfrm>
          <a:off x="15310104" y="5311140"/>
          <a:ext cx="128078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763524</xdr:colOff>
      <xdr:row>32</xdr:row>
      <xdr:rowOff>19050</xdr:rowOff>
    </xdr:from>
    <xdr:to>
      <xdr:col>34</xdr:col>
      <xdr:colOff>1232760</xdr:colOff>
      <xdr:row>32</xdr:row>
      <xdr:rowOff>133350</xdr:rowOff>
    </xdr:to>
    <xdr:sp macro="" textlink="">
      <xdr:nvSpPr>
        <xdr:cNvPr id="143632" name="29">
          <a:extLst>
            <a:ext uri="{FF2B5EF4-FFF2-40B4-BE49-F238E27FC236}">
              <a16:creationId xmlns:a16="http://schemas.microsoft.com/office/drawing/2014/main" id="{00000000-0008-0000-0100-000010310200}"/>
            </a:ext>
          </a:extLst>
        </xdr:cNvPr>
        <xdr:cNvSpPr/>
      </xdr:nvSpPr>
      <xdr:spPr>
        <a:xfrm>
          <a:off x="15310104" y="5101590"/>
          <a:ext cx="428685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763524</xdr:colOff>
      <xdr:row>32</xdr:row>
      <xdr:rowOff>76200</xdr:rowOff>
    </xdr:from>
    <xdr:to>
      <xdr:col>32</xdr:col>
      <xdr:colOff>821936</xdr:colOff>
      <xdr:row>32</xdr:row>
      <xdr:rowOff>76200</xdr:rowOff>
    </xdr:to>
    <xdr:cxnSp macro="">
      <xdr:nvCxnSpPr>
        <xdr:cNvPr id="143633" name="직선 화살표 연결선 143632">
          <a:extLst>
            <a:ext uri="{FF2B5EF4-FFF2-40B4-BE49-F238E27FC236}">
              <a16:creationId xmlns:a16="http://schemas.microsoft.com/office/drawing/2014/main" id="{00000000-0008-0000-0100-000011310200}"/>
            </a:ext>
          </a:extLst>
        </xdr:cNvPr>
        <xdr:cNvCxnSpPr/>
      </xdr:nvCxnSpPr>
      <xdr:spPr>
        <a:xfrm>
          <a:off x="15310104" y="5158740"/>
          <a:ext cx="133095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763524</xdr:colOff>
      <xdr:row>31</xdr:row>
      <xdr:rowOff>19050</xdr:rowOff>
    </xdr:from>
    <xdr:to>
      <xdr:col>33</xdr:col>
      <xdr:colOff>170942</xdr:colOff>
      <xdr:row>31</xdr:row>
      <xdr:rowOff>133350</xdr:rowOff>
    </xdr:to>
    <xdr:sp macro="" textlink="">
      <xdr:nvSpPr>
        <xdr:cNvPr id="143634" name="28">
          <a:extLst>
            <a:ext uri="{FF2B5EF4-FFF2-40B4-BE49-F238E27FC236}">
              <a16:creationId xmlns:a16="http://schemas.microsoft.com/office/drawing/2014/main" id="{00000000-0008-0000-0100-000012310200}"/>
            </a:ext>
          </a:extLst>
        </xdr:cNvPr>
        <xdr:cNvSpPr/>
      </xdr:nvSpPr>
      <xdr:spPr>
        <a:xfrm>
          <a:off x="15310104" y="4949190"/>
          <a:ext cx="19524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763524</xdr:colOff>
      <xdr:row>31</xdr:row>
      <xdr:rowOff>76200</xdr:rowOff>
    </xdr:from>
    <xdr:to>
      <xdr:col>32</xdr:col>
      <xdr:colOff>661721</xdr:colOff>
      <xdr:row>31</xdr:row>
      <xdr:rowOff>76200</xdr:rowOff>
    </xdr:to>
    <xdr:cxnSp macro="">
      <xdr:nvCxnSpPr>
        <xdr:cNvPr id="143635" name="직선 화살표 연결선 143634">
          <a:extLst>
            <a:ext uri="{FF2B5EF4-FFF2-40B4-BE49-F238E27FC236}">
              <a16:creationId xmlns:a16="http://schemas.microsoft.com/office/drawing/2014/main" id="{00000000-0008-0000-0100-000013310200}"/>
            </a:ext>
          </a:extLst>
        </xdr:cNvPr>
        <xdr:cNvCxnSpPr/>
      </xdr:nvCxnSpPr>
      <xdr:spPr>
        <a:xfrm>
          <a:off x="15310104" y="5006340"/>
          <a:ext cx="117073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763524</xdr:colOff>
      <xdr:row>30</xdr:row>
      <xdr:rowOff>19050</xdr:rowOff>
    </xdr:from>
    <xdr:to>
      <xdr:col>32</xdr:col>
      <xdr:colOff>1269</xdr:colOff>
      <xdr:row>30</xdr:row>
      <xdr:rowOff>133350</xdr:rowOff>
    </xdr:to>
    <xdr:sp macro="" textlink="">
      <xdr:nvSpPr>
        <xdr:cNvPr id="143636" name="27">
          <a:extLst>
            <a:ext uri="{FF2B5EF4-FFF2-40B4-BE49-F238E27FC236}">
              <a16:creationId xmlns:a16="http://schemas.microsoft.com/office/drawing/2014/main" id="{00000000-0008-0000-0100-000014310200}"/>
            </a:ext>
          </a:extLst>
        </xdr:cNvPr>
        <xdr:cNvSpPr/>
      </xdr:nvSpPr>
      <xdr:spPr>
        <a:xfrm>
          <a:off x="15310104" y="4796790"/>
          <a:ext cx="5102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763524</xdr:colOff>
      <xdr:row>30</xdr:row>
      <xdr:rowOff>76200</xdr:rowOff>
    </xdr:from>
    <xdr:to>
      <xdr:col>31</xdr:col>
      <xdr:colOff>1119834</xdr:colOff>
      <xdr:row>30</xdr:row>
      <xdr:rowOff>76200</xdr:rowOff>
    </xdr:to>
    <xdr:cxnSp macro="">
      <xdr:nvCxnSpPr>
        <xdr:cNvPr id="143637" name="직선 화살표 연결선 143636">
          <a:extLst>
            <a:ext uri="{FF2B5EF4-FFF2-40B4-BE49-F238E27FC236}">
              <a16:creationId xmlns:a16="http://schemas.microsoft.com/office/drawing/2014/main" id="{00000000-0008-0000-0100-000015310200}"/>
            </a:ext>
          </a:extLst>
        </xdr:cNvPr>
        <xdr:cNvCxnSpPr/>
      </xdr:nvCxnSpPr>
      <xdr:spPr>
        <a:xfrm>
          <a:off x="15310104" y="4853940"/>
          <a:ext cx="3563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763524</xdr:colOff>
      <xdr:row>29</xdr:row>
      <xdr:rowOff>19050</xdr:rowOff>
    </xdr:from>
    <xdr:to>
      <xdr:col>32</xdr:col>
      <xdr:colOff>1269</xdr:colOff>
      <xdr:row>29</xdr:row>
      <xdr:rowOff>133350</xdr:rowOff>
    </xdr:to>
    <xdr:sp macro="" textlink="">
      <xdr:nvSpPr>
        <xdr:cNvPr id="143638" name="26">
          <a:extLst>
            <a:ext uri="{FF2B5EF4-FFF2-40B4-BE49-F238E27FC236}">
              <a16:creationId xmlns:a16="http://schemas.microsoft.com/office/drawing/2014/main" id="{00000000-0008-0000-0100-000016310200}"/>
            </a:ext>
          </a:extLst>
        </xdr:cNvPr>
        <xdr:cNvSpPr/>
      </xdr:nvSpPr>
      <xdr:spPr>
        <a:xfrm>
          <a:off x="15310104" y="4644390"/>
          <a:ext cx="5102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763524</xdr:colOff>
      <xdr:row>29</xdr:row>
      <xdr:rowOff>76200</xdr:rowOff>
    </xdr:from>
    <xdr:to>
      <xdr:col>32</xdr:col>
      <xdr:colOff>0</xdr:colOff>
      <xdr:row>29</xdr:row>
      <xdr:rowOff>76200</xdr:rowOff>
    </xdr:to>
    <xdr:cxnSp macro="">
      <xdr:nvCxnSpPr>
        <xdr:cNvPr id="143639" name="직선 화살표 연결선 143638">
          <a:extLst>
            <a:ext uri="{FF2B5EF4-FFF2-40B4-BE49-F238E27FC236}">
              <a16:creationId xmlns:a16="http://schemas.microsoft.com/office/drawing/2014/main" id="{00000000-0008-0000-0100-000017310200}"/>
            </a:ext>
          </a:extLst>
        </xdr:cNvPr>
        <xdr:cNvCxnSpPr/>
      </xdr:nvCxnSpPr>
      <xdr:spPr>
        <a:xfrm>
          <a:off x="15310104" y="4701540"/>
          <a:ext cx="50901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763524</xdr:colOff>
      <xdr:row>28</xdr:row>
      <xdr:rowOff>19050</xdr:rowOff>
    </xdr:from>
    <xdr:to>
      <xdr:col>32</xdr:col>
      <xdr:colOff>1269</xdr:colOff>
      <xdr:row>28</xdr:row>
      <xdr:rowOff>133350</xdr:rowOff>
    </xdr:to>
    <xdr:sp macro="" textlink="">
      <xdr:nvSpPr>
        <xdr:cNvPr id="143640" name="25">
          <a:extLst>
            <a:ext uri="{FF2B5EF4-FFF2-40B4-BE49-F238E27FC236}">
              <a16:creationId xmlns:a16="http://schemas.microsoft.com/office/drawing/2014/main" id="{00000000-0008-0000-0100-000018310200}"/>
            </a:ext>
          </a:extLst>
        </xdr:cNvPr>
        <xdr:cNvSpPr/>
      </xdr:nvSpPr>
      <xdr:spPr>
        <a:xfrm>
          <a:off x="15310104" y="4491990"/>
          <a:ext cx="5102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763524</xdr:colOff>
      <xdr:row>28</xdr:row>
      <xdr:rowOff>76200</xdr:rowOff>
    </xdr:from>
    <xdr:to>
      <xdr:col>32</xdr:col>
      <xdr:colOff>0</xdr:colOff>
      <xdr:row>28</xdr:row>
      <xdr:rowOff>76200</xdr:rowOff>
    </xdr:to>
    <xdr:cxnSp macro="">
      <xdr:nvCxnSpPr>
        <xdr:cNvPr id="143641" name="직선 화살표 연결선 143640">
          <a:extLst>
            <a:ext uri="{FF2B5EF4-FFF2-40B4-BE49-F238E27FC236}">
              <a16:creationId xmlns:a16="http://schemas.microsoft.com/office/drawing/2014/main" id="{00000000-0008-0000-0100-000019310200}"/>
            </a:ext>
          </a:extLst>
        </xdr:cNvPr>
        <xdr:cNvCxnSpPr/>
      </xdr:nvCxnSpPr>
      <xdr:spPr>
        <a:xfrm>
          <a:off x="15310104" y="4549140"/>
          <a:ext cx="50901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763524</xdr:colOff>
      <xdr:row>27</xdr:row>
      <xdr:rowOff>19050</xdr:rowOff>
    </xdr:from>
    <xdr:to>
      <xdr:col>32</xdr:col>
      <xdr:colOff>1269</xdr:colOff>
      <xdr:row>27</xdr:row>
      <xdr:rowOff>133350</xdr:rowOff>
    </xdr:to>
    <xdr:sp macro="" textlink="">
      <xdr:nvSpPr>
        <xdr:cNvPr id="143642" name="24">
          <a:extLst>
            <a:ext uri="{FF2B5EF4-FFF2-40B4-BE49-F238E27FC236}">
              <a16:creationId xmlns:a16="http://schemas.microsoft.com/office/drawing/2014/main" id="{00000000-0008-0000-0100-00001A310200}"/>
            </a:ext>
          </a:extLst>
        </xdr:cNvPr>
        <xdr:cNvSpPr/>
      </xdr:nvSpPr>
      <xdr:spPr>
        <a:xfrm>
          <a:off x="15310104" y="4339590"/>
          <a:ext cx="5102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763524</xdr:colOff>
      <xdr:row>27</xdr:row>
      <xdr:rowOff>76200</xdr:rowOff>
    </xdr:from>
    <xdr:to>
      <xdr:col>31</xdr:col>
      <xdr:colOff>763524</xdr:colOff>
      <xdr:row>27</xdr:row>
      <xdr:rowOff>76200</xdr:rowOff>
    </xdr:to>
    <xdr:cxnSp macro="">
      <xdr:nvCxnSpPr>
        <xdr:cNvPr id="143643" name="직선 화살표 연결선 143642">
          <a:extLst>
            <a:ext uri="{FF2B5EF4-FFF2-40B4-BE49-F238E27FC236}">
              <a16:creationId xmlns:a16="http://schemas.microsoft.com/office/drawing/2014/main" id="{00000000-0008-0000-0100-00001B310200}"/>
            </a:ext>
          </a:extLst>
        </xdr:cNvPr>
        <xdr:cNvCxnSpPr/>
      </xdr:nvCxnSpPr>
      <xdr:spPr>
        <a:xfrm>
          <a:off x="15310104" y="4396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763524</xdr:colOff>
      <xdr:row>26</xdr:row>
      <xdr:rowOff>19050</xdr:rowOff>
    </xdr:from>
    <xdr:to>
      <xdr:col>32</xdr:col>
      <xdr:colOff>1269</xdr:colOff>
      <xdr:row>26</xdr:row>
      <xdr:rowOff>133350</xdr:rowOff>
    </xdr:to>
    <xdr:sp macro="" textlink="">
      <xdr:nvSpPr>
        <xdr:cNvPr id="143644" name="23">
          <a:extLst>
            <a:ext uri="{FF2B5EF4-FFF2-40B4-BE49-F238E27FC236}">
              <a16:creationId xmlns:a16="http://schemas.microsoft.com/office/drawing/2014/main" id="{00000000-0008-0000-0100-00001C310200}"/>
            </a:ext>
          </a:extLst>
        </xdr:cNvPr>
        <xdr:cNvSpPr/>
      </xdr:nvSpPr>
      <xdr:spPr>
        <a:xfrm>
          <a:off x="15310104" y="4187190"/>
          <a:ext cx="5102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763524</xdr:colOff>
      <xdr:row>26</xdr:row>
      <xdr:rowOff>76200</xdr:rowOff>
    </xdr:from>
    <xdr:to>
      <xdr:col>31</xdr:col>
      <xdr:colOff>763524</xdr:colOff>
      <xdr:row>26</xdr:row>
      <xdr:rowOff>76200</xdr:rowOff>
    </xdr:to>
    <xdr:cxnSp macro="">
      <xdr:nvCxnSpPr>
        <xdr:cNvPr id="143645" name="직선 화살표 연결선 143644">
          <a:extLst>
            <a:ext uri="{FF2B5EF4-FFF2-40B4-BE49-F238E27FC236}">
              <a16:creationId xmlns:a16="http://schemas.microsoft.com/office/drawing/2014/main" id="{00000000-0008-0000-0100-00001D310200}"/>
            </a:ext>
          </a:extLst>
        </xdr:cNvPr>
        <xdr:cNvCxnSpPr/>
      </xdr:nvCxnSpPr>
      <xdr:spPr>
        <a:xfrm>
          <a:off x="15310104" y="4244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763524</xdr:colOff>
      <xdr:row>25</xdr:row>
      <xdr:rowOff>19050</xdr:rowOff>
    </xdr:from>
    <xdr:to>
      <xdr:col>33</xdr:col>
      <xdr:colOff>170942</xdr:colOff>
      <xdr:row>25</xdr:row>
      <xdr:rowOff>133350</xdr:rowOff>
    </xdr:to>
    <xdr:sp macro="" textlink="">
      <xdr:nvSpPr>
        <xdr:cNvPr id="143646" name="22">
          <a:extLst>
            <a:ext uri="{FF2B5EF4-FFF2-40B4-BE49-F238E27FC236}">
              <a16:creationId xmlns:a16="http://schemas.microsoft.com/office/drawing/2014/main" id="{00000000-0008-0000-0100-00001E310200}"/>
            </a:ext>
          </a:extLst>
        </xdr:cNvPr>
        <xdr:cNvSpPr/>
      </xdr:nvSpPr>
      <xdr:spPr>
        <a:xfrm>
          <a:off x="15310104" y="4034790"/>
          <a:ext cx="195249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763524</xdr:colOff>
      <xdr:row>25</xdr:row>
      <xdr:rowOff>76200</xdr:rowOff>
    </xdr:from>
    <xdr:to>
      <xdr:col>32</xdr:col>
      <xdr:colOff>591195</xdr:colOff>
      <xdr:row>25</xdr:row>
      <xdr:rowOff>76200</xdr:rowOff>
    </xdr:to>
    <xdr:cxnSp macro="">
      <xdr:nvCxnSpPr>
        <xdr:cNvPr id="143647" name="직선 화살표 연결선 143646">
          <a:extLst>
            <a:ext uri="{FF2B5EF4-FFF2-40B4-BE49-F238E27FC236}">
              <a16:creationId xmlns:a16="http://schemas.microsoft.com/office/drawing/2014/main" id="{00000000-0008-0000-0100-00001F310200}"/>
            </a:ext>
          </a:extLst>
        </xdr:cNvPr>
        <xdr:cNvCxnSpPr/>
      </xdr:nvCxnSpPr>
      <xdr:spPr>
        <a:xfrm>
          <a:off x="15310104" y="4091940"/>
          <a:ext cx="11002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763524</xdr:colOff>
      <xdr:row>24</xdr:row>
      <xdr:rowOff>19050</xdr:rowOff>
    </xdr:from>
    <xdr:to>
      <xdr:col>31</xdr:col>
      <xdr:colOff>976883</xdr:colOff>
      <xdr:row>24</xdr:row>
      <xdr:rowOff>133350</xdr:rowOff>
    </xdr:to>
    <xdr:sp macro="" textlink="">
      <xdr:nvSpPr>
        <xdr:cNvPr id="143648" name="21">
          <a:extLst>
            <a:ext uri="{FF2B5EF4-FFF2-40B4-BE49-F238E27FC236}">
              <a16:creationId xmlns:a16="http://schemas.microsoft.com/office/drawing/2014/main" id="{00000000-0008-0000-0100-000020310200}"/>
            </a:ext>
          </a:extLst>
        </xdr:cNvPr>
        <xdr:cNvSpPr/>
      </xdr:nvSpPr>
      <xdr:spPr>
        <a:xfrm>
          <a:off x="15310104" y="3882390"/>
          <a:ext cx="21335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763524</xdr:colOff>
      <xdr:row>24</xdr:row>
      <xdr:rowOff>76200</xdr:rowOff>
    </xdr:from>
    <xdr:to>
      <xdr:col>31</xdr:col>
      <xdr:colOff>869569</xdr:colOff>
      <xdr:row>24</xdr:row>
      <xdr:rowOff>76200</xdr:rowOff>
    </xdr:to>
    <xdr:cxnSp macro="">
      <xdr:nvCxnSpPr>
        <xdr:cNvPr id="143649" name="직선 화살표 연결선 143648">
          <a:extLst>
            <a:ext uri="{FF2B5EF4-FFF2-40B4-BE49-F238E27FC236}">
              <a16:creationId xmlns:a16="http://schemas.microsoft.com/office/drawing/2014/main" id="{00000000-0008-0000-0100-000021310200}"/>
            </a:ext>
          </a:extLst>
        </xdr:cNvPr>
        <xdr:cNvCxnSpPr/>
      </xdr:nvCxnSpPr>
      <xdr:spPr>
        <a:xfrm>
          <a:off x="15310104" y="3939540"/>
          <a:ext cx="10604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763524</xdr:colOff>
      <xdr:row>23</xdr:row>
      <xdr:rowOff>19050</xdr:rowOff>
    </xdr:from>
    <xdr:to>
      <xdr:col>32</xdr:col>
      <xdr:colOff>1150661</xdr:colOff>
      <xdr:row>23</xdr:row>
      <xdr:rowOff>133350</xdr:rowOff>
    </xdr:to>
    <xdr:sp macro="" textlink="">
      <xdr:nvSpPr>
        <xdr:cNvPr id="143650" name="20">
          <a:extLst>
            <a:ext uri="{FF2B5EF4-FFF2-40B4-BE49-F238E27FC236}">
              <a16:creationId xmlns:a16="http://schemas.microsoft.com/office/drawing/2014/main" id="{00000000-0008-0000-0100-000022310200}"/>
            </a:ext>
          </a:extLst>
        </xdr:cNvPr>
        <xdr:cNvSpPr/>
      </xdr:nvSpPr>
      <xdr:spPr>
        <a:xfrm>
          <a:off x="15310104" y="3729990"/>
          <a:ext cx="165967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763524</xdr:colOff>
      <xdr:row>23</xdr:row>
      <xdr:rowOff>76200</xdr:rowOff>
    </xdr:from>
    <xdr:to>
      <xdr:col>32</xdr:col>
      <xdr:colOff>651870</xdr:colOff>
      <xdr:row>23</xdr:row>
      <xdr:rowOff>76200</xdr:rowOff>
    </xdr:to>
    <xdr:cxnSp macro="">
      <xdr:nvCxnSpPr>
        <xdr:cNvPr id="143651" name="직선 화살표 연결선 143650">
          <a:extLst>
            <a:ext uri="{FF2B5EF4-FFF2-40B4-BE49-F238E27FC236}">
              <a16:creationId xmlns:a16="http://schemas.microsoft.com/office/drawing/2014/main" id="{00000000-0008-0000-0100-000023310200}"/>
            </a:ext>
          </a:extLst>
        </xdr:cNvPr>
        <xdr:cNvCxnSpPr/>
      </xdr:nvCxnSpPr>
      <xdr:spPr>
        <a:xfrm>
          <a:off x="15310104" y="3787140"/>
          <a:ext cx="11608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763524</xdr:colOff>
      <xdr:row>22</xdr:row>
      <xdr:rowOff>19050</xdr:rowOff>
    </xdr:from>
    <xdr:to>
      <xdr:col>31</xdr:col>
      <xdr:colOff>976883</xdr:colOff>
      <xdr:row>22</xdr:row>
      <xdr:rowOff>133350</xdr:rowOff>
    </xdr:to>
    <xdr:sp macro="" textlink="">
      <xdr:nvSpPr>
        <xdr:cNvPr id="143652" name="19">
          <a:extLst>
            <a:ext uri="{FF2B5EF4-FFF2-40B4-BE49-F238E27FC236}">
              <a16:creationId xmlns:a16="http://schemas.microsoft.com/office/drawing/2014/main" id="{00000000-0008-0000-0100-000024310200}"/>
            </a:ext>
          </a:extLst>
        </xdr:cNvPr>
        <xdr:cNvSpPr/>
      </xdr:nvSpPr>
      <xdr:spPr>
        <a:xfrm>
          <a:off x="15310104" y="3577590"/>
          <a:ext cx="21335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763524</xdr:colOff>
      <xdr:row>22</xdr:row>
      <xdr:rowOff>76200</xdr:rowOff>
    </xdr:from>
    <xdr:to>
      <xdr:col>31</xdr:col>
      <xdr:colOff>954404</xdr:colOff>
      <xdr:row>22</xdr:row>
      <xdr:rowOff>76200</xdr:rowOff>
    </xdr:to>
    <xdr:cxnSp macro="">
      <xdr:nvCxnSpPr>
        <xdr:cNvPr id="143653" name="직선 화살표 연결선 143652">
          <a:extLst>
            <a:ext uri="{FF2B5EF4-FFF2-40B4-BE49-F238E27FC236}">
              <a16:creationId xmlns:a16="http://schemas.microsoft.com/office/drawing/2014/main" id="{00000000-0008-0000-0100-000025310200}"/>
            </a:ext>
          </a:extLst>
        </xdr:cNvPr>
        <xdr:cNvCxnSpPr/>
      </xdr:nvCxnSpPr>
      <xdr:spPr>
        <a:xfrm>
          <a:off x="15310104" y="3634740"/>
          <a:ext cx="1908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763524</xdr:colOff>
      <xdr:row>21</xdr:row>
      <xdr:rowOff>19050</xdr:rowOff>
    </xdr:from>
    <xdr:to>
      <xdr:col>32</xdr:col>
      <xdr:colOff>1150661</xdr:colOff>
      <xdr:row>21</xdr:row>
      <xdr:rowOff>133350</xdr:rowOff>
    </xdr:to>
    <xdr:sp macro="" textlink="">
      <xdr:nvSpPr>
        <xdr:cNvPr id="143654" name="18">
          <a:extLst>
            <a:ext uri="{FF2B5EF4-FFF2-40B4-BE49-F238E27FC236}">
              <a16:creationId xmlns:a16="http://schemas.microsoft.com/office/drawing/2014/main" id="{00000000-0008-0000-0100-000026310200}"/>
            </a:ext>
          </a:extLst>
        </xdr:cNvPr>
        <xdr:cNvSpPr/>
      </xdr:nvSpPr>
      <xdr:spPr>
        <a:xfrm>
          <a:off x="15310104" y="3425190"/>
          <a:ext cx="165967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763524</xdr:colOff>
      <xdr:row>21</xdr:row>
      <xdr:rowOff>76200</xdr:rowOff>
    </xdr:from>
    <xdr:to>
      <xdr:col>32</xdr:col>
      <xdr:colOff>675227</xdr:colOff>
      <xdr:row>21</xdr:row>
      <xdr:rowOff>76200</xdr:rowOff>
    </xdr:to>
    <xdr:cxnSp macro="">
      <xdr:nvCxnSpPr>
        <xdr:cNvPr id="143655" name="직선 화살표 연결선 143654">
          <a:extLst>
            <a:ext uri="{FF2B5EF4-FFF2-40B4-BE49-F238E27FC236}">
              <a16:creationId xmlns:a16="http://schemas.microsoft.com/office/drawing/2014/main" id="{00000000-0008-0000-0100-000027310200}"/>
            </a:ext>
          </a:extLst>
        </xdr:cNvPr>
        <xdr:cNvCxnSpPr/>
      </xdr:nvCxnSpPr>
      <xdr:spPr>
        <a:xfrm>
          <a:off x="15310104" y="3482340"/>
          <a:ext cx="11842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763524</xdr:colOff>
      <xdr:row>20</xdr:row>
      <xdr:rowOff>19050</xdr:rowOff>
    </xdr:from>
    <xdr:to>
      <xdr:col>35</xdr:col>
      <xdr:colOff>534916</xdr:colOff>
      <xdr:row>20</xdr:row>
      <xdr:rowOff>133350</xdr:rowOff>
    </xdr:to>
    <xdr:sp macro="" textlink="">
      <xdr:nvSpPr>
        <xdr:cNvPr id="143656" name="17">
          <a:extLst>
            <a:ext uri="{FF2B5EF4-FFF2-40B4-BE49-F238E27FC236}">
              <a16:creationId xmlns:a16="http://schemas.microsoft.com/office/drawing/2014/main" id="{00000000-0008-0000-0100-000028310200}"/>
            </a:ext>
          </a:extLst>
        </xdr:cNvPr>
        <xdr:cNvSpPr/>
      </xdr:nvSpPr>
      <xdr:spPr>
        <a:xfrm>
          <a:off x="15310104" y="3272790"/>
          <a:ext cx="486155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763524</xdr:colOff>
      <xdr:row>20</xdr:row>
      <xdr:rowOff>76200</xdr:rowOff>
    </xdr:from>
    <xdr:to>
      <xdr:col>32</xdr:col>
      <xdr:colOff>1244087</xdr:colOff>
      <xdr:row>20</xdr:row>
      <xdr:rowOff>76200</xdr:rowOff>
    </xdr:to>
    <xdr:cxnSp macro="">
      <xdr:nvCxnSpPr>
        <xdr:cNvPr id="143657" name="직선 화살표 연결선 143656">
          <a:extLst>
            <a:ext uri="{FF2B5EF4-FFF2-40B4-BE49-F238E27FC236}">
              <a16:creationId xmlns:a16="http://schemas.microsoft.com/office/drawing/2014/main" id="{00000000-0008-0000-0100-000029310200}"/>
            </a:ext>
          </a:extLst>
        </xdr:cNvPr>
        <xdr:cNvCxnSpPr/>
      </xdr:nvCxnSpPr>
      <xdr:spPr>
        <a:xfrm>
          <a:off x="15310104" y="3329940"/>
          <a:ext cx="17531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1026241</xdr:colOff>
      <xdr:row>19</xdr:row>
      <xdr:rowOff>19050</xdr:rowOff>
    </xdr:from>
    <xdr:to>
      <xdr:col>35</xdr:col>
      <xdr:colOff>247567</xdr:colOff>
      <xdr:row>19</xdr:row>
      <xdr:rowOff>133350</xdr:rowOff>
    </xdr:to>
    <xdr:sp macro="" textlink="">
      <xdr:nvSpPr>
        <xdr:cNvPr id="143658" name="16">
          <a:extLst>
            <a:ext uri="{FF2B5EF4-FFF2-40B4-BE49-F238E27FC236}">
              <a16:creationId xmlns:a16="http://schemas.microsoft.com/office/drawing/2014/main" id="{00000000-0008-0000-0100-00002A310200}"/>
            </a:ext>
          </a:extLst>
        </xdr:cNvPr>
        <xdr:cNvSpPr/>
      </xdr:nvSpPr>
      <xdr:spPr>
        <a:xfrm>
          <a:off x="19390441" y="3120390"/>
          <a:ext cx="4938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1026241</xdr:colOff>
      <xdr:row>19</xdr:row>
      <xdr:rowOff>76200</xdr:rowOff>
    </xdr:from>
    <xdr:to>
      <xdr:col>34</xdr:col>
      <xdr:colOff>1026241</xdr:colOff>
      <xdr:row>19</xdr:row>
      <xdr:rowOff>76200</xdr:rowOff>
    </xdr:to>
    <xdr:cxnSp macro="">
      <xdr:nvCxnSpPr>
        <xdr:cNvPr id="143659" name="직선 화살표 연결선 143658">
          <a:extLst>
            <a:ext uri="{FF2B5EF4-FFF2-40B4-BE49-F238E27FC236}">
              <a16:creationId xmlns:a16="http://schemas.microsoft.com/office/drawing/2014/main" id="{00000000-0008-0000-0100-00002B310200}"/>
            </a:ext>
          </a:extLst>
        </xdr:cNvPr>
        <xdr:cNvCxnSpPr/>
      </xdr:nvCxnSpPr>
      <xdr:spPr>
        <a:xfrm>
          <a:off x="19390441" y="317754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1026241</xdr:colOff>
      <xdr:row>18</xdr:row>
      <xdr:rowOff>19050</xdr:rowOff>
    </xdr:from>
    <xdr:to>
      <xdr:col>35</xdr:col>
      <xdr:colOff>247567</xdr:colOff>
      <xdr:row>18</xdr:row>
      <xdr:rowOff>133350</xdr:rowOff>
    </xdr:to>
    <xdr:sp macro="" textlink="">
      <xdr:nvSpPr>
        <xdr:cNvPr id="143660" name="15">
          <a:extLst>
            <a:ext uri="{FF2B5EF4-FFF2-40B4-BE49-F238E27FC236}">
              <a16:creationId xmlns:a16="http://schemas.microsoft.com/office/drawing/2014/main" id="{00000000-0008-0000-0100-00002C310200}"/>
            </a:ext>
          </a:extLst>
        </xdr:cNvPr>
        <xdr:cNvSpPr/>
      </xdr:nvSpPr>
      <xdr:spPr>
        <a:xfrm>
          <a:off x="19390441" y="2967990"/>
          <a:ext cx="4938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1026241</xdr:colOff>
      <xdr:row>18</xdr:row>
      <xdr:rowOff>76200</xdr:rowOff>
    </xdr:from>
    <xdr:to>
      <xdr:col>34</xdr:col>
      <xdr:colOff>1026241</xdr:colOff>
      <xdr:row>18</xdr:row>
      <xdr:rowOff>76200</xdr:rowOff>
    </xdr:to>
    <xdr:cxnSp macro="">
      <xdr:nvCxnSpPr>
        <xdr:cNvPr id="143661" name="직선 화살표 연결선 143660">
          <a:extLst>
            <a:ext uri="{FF2B5EF4-FFF2-40B4-BE49-F238E27FC236}">
              <a16:creationId xmlns:a16="http://schemas.microsoft.com/office/drawing/2014/main" id="{00000000-0008-0000-0100-00002D310200}"/>
            </a:ext>
          </a:extLst>
        </xdr:cNvPr>
        <xdr:cNvCxnSpPr/>
      </xdr:nvCxnSpPr>
      <xdr:spPr>
        <a:xfrm>
          <a:off x="19390441" y="302514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1026241</xdr:colOff>
      <xdr:row>17</xdr:row>
      <xdr:rowOff>19050</xdr:rowOff>
    </xdr:from>
    <xdr:to>
      <xdr:col>35</xdr:col>
      <xdr:colOff>247567</xdr:colOff>
      <xdr:row>17</xdr:row>
      <xdr:rowOff>133350</xdr:rowOff>
    </xdr:to>
    <xdr:sp macro="" textlink="">
      <xdr:nvSpPr>
        <xdr:cNvPr id="143662" name="14">
          <a:extLst>
            <a:ext uri="{FF2B5EF4-FFF2-40B4-BE49-F238E27FC236}">
              <a16:creationId xmlns:a16="http://schemas.microsoft.com/office/drawing/2014/main" id="{00000000-0008-0000-0100-00002E310200}"/>
            </a:ext>
          </a:extLst>
        </xdr:cNvPr>
        <xdr:cNvSpPr/>
      </xdr:nvSpPr>
      <xdr:spPr>
        <a:xfrm>
          <a:off x="19390441" y="2815590"/>
          <a:ext cx="4938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1026241</xdr:colOff>
      <xdr:row>17</xdr:row>
      <xdr:rowOff>76200</xdr:rowOff>
    </xdr:from>
    <xdr:to>
      <xdr:col>34</xdr:col>
      <xdr:colOff>1026241</xdr:colOff>
      <xdr:row>17</xdr:row>
      <xdr:rowOff>76200</xdr:rowOff>
    </xdr:to>
    <xdr:cxnSp macro="">
      <xdr:nvCxnSpPr>
        <xdr:cNvPr id="143663" name="직선 화살표 연결선 143662">
          <a:extLst>
            <a:ext uri="{FF2B5EF4-FFF2-40B4-BE49-F238E27FC236}">
              <a16:creationId xmlns:a16="http://schemas.microsoft.com/office/drawing/2014/main" id="{00000000-0008-0000-0100-00002F310200}"/>
            </a:ext>
          </a:extLst>
        </xdr:cNvPr>
        <xdr:cNvCxnSpPr/>
      </xdr:nvCxnSpPr>
      <xdr:spPr>
        <a:xfrm>
          <a:off x="19390441" y="287274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1026241</xdr:colOff>
      <xdr:row>16</xdr:row>
      <xdr:rowOff>19050</xdr:rowOff>
    </xdr:from>
    <xdr:to>
      <xdr:col>35</xdr:col>
      <xdr:colOff>247567</xdr:colOff>
      <xdr:row>16</xdr:row>
      <xdr:rowOff>133350</xdr:rowOff>
    </xdr:to>
    <xdr:sp macro="" textlink="">
      <xdr:nvSpPr>
        <xdr:cNvPr id="143664" name="13">
          <a:extLst>
            <a:ext uri="{FF2B5EF4-FFF2-40B4-BE49-F238E27FC236}">
              <a16:creationId xmlns:a16="http://schemas.microsoft.com/office/drawing/2014/main" id="{00000000-0008-0000-0100-000030310200}"/>
            </a:ext>
          </a:extLst>
        </xdr:cNvPr>
        <xdr:cNvSpPr/>
      </xdr:nvSpPr>
      <xdr:spPr>
        <a:xfrm>
          <a:off x="19390441" y="2663190"/>
          <a:ext cx="4938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1026241</xdr:colOff>
      <xdr:row>16</xdr:row>
      <xdr:rowOff>76200</xdr:rowOff>
    </xdr:from>
    <xdr:to>
      <xdr:col>34</xdr:col>
      <xdr:colOff>1026241</xdr:colOff>
      <xdr:row>16</xdr:row>
      <xdr:rowOff>76200</xdr:rowOff>
    </xdr:to>
    <xdr:cxnSp macro="">
      <xdr:nvCxnSpPr>
        <xdr:cNvPr id="143665" name="직선 화살표 연결선 143664">
          <a:extLst>
            <a:ext uri="{FF2B5EF4-FFF2-40B4-BE49-F238E27FC236}">
              <a16:creationId xmlns:a16="http://schemas.microsoft.com/office/drawing/2014/main" id="{00000000-0008-0000-0100-000031310200}"/>
            </a:ext>
          </a:extLst>
        </xdr:cNvPr>
        <xdr:cNvCxnSpPr/>
      </xdr:nvCxnSpPr>
      <xdr:spPr>
        <a:xfrm>
          <a:off x="19390441" y="272034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763524</xdr:colOff>
      <xdr:row>15</xdr:row>
      <xdr:rowOff>19050</xdr:rowOff>
    </xdr:from>
    <xdr:to>
      <xdr:col>34</xdr:col>
      <xdr:colOff>1232760</xdr:colOff>
      <xdr:row>15</xdr:row>
      <xdr:rowOff>133350</xdr:rowOff>
    </xdr:to>
    <xdr:sp macro="" textlink="">
      <xdr:nvSpPr>
        <xdr:cNvPr id="143666" name="12">
          <a:extLst>
            <a:ext uri="{FF2B5EF4-FFF2-40B4-BE49-F238E27FC236}">
              <a16:creationId xmlns:a16="http://schemas.microsoft.com/office/drawing/2014/main" id="{00000000-0008-0000-0100-000032310200}"/>
            </a:ext>
          </a:extLst>
        </xdr:cNvPr>
        <xdr:cNvSpPr/>
      </xdr:nvSpPr>
      <xdr:spPr>
        <a:xfrm>
          <a:off x="15310104" y="2510790"/>
          <a:ext cx="42868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763524</xdr:colOff>
      <xdr:row>15</xdr:row>
      <xdr:rowOff>76200</xdr:rowOff>
    </xdr:from>
    <xdr:to>
      <xdr:col>33</xdr:col>
      <xdr:colOff>214670</xdr:colOff>
      <xdr:row>15</xdr:row>
      <xdr:rowOff>76200</xdr:rowOff>
    </xdr:to>
    <xdr:cxnSp macro="">
      <xdr:nvCxnSpPr>
        <xdr:cNvPr id="143667" name="직선 화살표 연결선 143666">
          <a:extLst>
            <a:ext uri="{FF2B5EF4-FFF2-40B4-BE49-F238E27FC236}">
              <a16:creationId xmlns:a16="http://schemas.microsoft.com/office/drawing/2014/main" id="{00000000-0008-0000-0100-000033310200}"/>
            </a:ext>
          </a:extLst>
        </xdr:cNvPr>
        <xdr:cNvCxnSpPr/>
      </xdr:nvCxnSpPr>
      <xdr:spPr>
        <a:xfrm>
          <a:off x="15310104" y="2567940"/>
          <a:ext cx="199622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763524</xdr:colOff>
      <xdr:row>14</xdr:row>
      <xdr:rowOff>19050</xdr:rowOff>
    </xdr:from>
    <xdr:to>
      <xdr:col>34</xdr:col>
      <xdr:colOff>1232760</xdr:colOff>
      <xdr:row>14</xdr:row>
      <xdr:rowOff>133350</xdr:rowOff>
    </xdr:to>
    <xdr:sp macro="" textlink="">
      <xdr:nvSpPr>
        <xdr:cNvPr id="143668" name="11">
          <a:extLst>
            <a:ext uri="{FF2B5EF4-FFF2-40B4-BE49-F238E27FC236}">
              <a16:creationId xmlns:a16="http://schemas.microsoft.com/office/drawing/2014/main" id="{00000000-0008-0000-0100-000034310200}"/>
            </a:ext>
          </a:extLst>
        </xdr:cNvPr>
        <xdr:cNvSpPr/>
      </xdr:nvSpPr>
      <xdr:spPr>
        <a:xfrm>
          <a:off x="15310104" y="2358390"/>
          <a:ext cx="42868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763524</xdr:colOff>
      <xdr:row>14</xdr:row>
      <xdr:rowOff>76200</xdr:rowOff>
    </xdr:from>
    <xdr:to>
      <xdr:col>33</xdr:col>
      <xdr:colOff>214670</xdr:colOff>
      <xdr:row>14</xdr:row>
      <xdr:rowOff>76200</xdr:rowOff>
    </xdr:to>
    <xdr:cxnSp macro="">
      <xdr:nvCxnSpPr>
        <xdr:cNvPr id="143669" name="직선 화살표 연결선 143668">
          <a:extLst>
            <a:ext uri="{FF2B5EF4-FFF2-40B4-BE49-F238E27FC236}">
              <a16:creationId xmlns:a16="http://schemas.microsoft.com/office/drawing/2014/main" id="{00000000-0008-0000-0100-000035310200}"/>
            </a:ext>
          </a:extLst>
        </xdr:cNvPr>
        <xdr:cNvCxnSpPr/>
      </xdr:nvCxnSpPr>
      <xdr:spPr>
        <a:xfrm>
          <a:off x="15310104" y="2415540"/>
          <a:ext cx="199622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763524</xdr:colOff>
      <xdr:row>13</xdr:row>
      <xdr:rowOff>19050</xdr:rowOff>
    </xdr:from>
    <xdr:to>
      <xdr:col>34</xdr:col>
      <xdr:colOff>1232760</xdr:colOff>
      <xdr:row>13</xdr:row>
      <xdr:rowOff>133350</xdr:rowOff>
    </xdr:to>
    <xdr:sp macro="" textlink="">
      <xdr:nvSpPr>
        <xdr:cNvPr id="143670" name="10">
          <a:extLst>
            <a:ext uri="{FF2B5EF4-FFF2-40B4-BE49-F238E27FC236}">
              <a16:creationId xmlns:a16="http://schemas.microsoft.com/office/drawing/2014/main" id="{00000000-0008-0000-0100-000036310200}"/>
            </a:ext>
          </a:extLst>
        </xdr:cNvPr>
        <xdr:cNvSpPr/>
      </xdr:nvSpPr>
      <xdr:spPr>
        <a:xfrm>
          <a:off x="15310104" y="2205990"/>
          <a:ext cx="42868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763524</xdr:colOff>
      <xdr:row>13</xdr:row>
      <xdr:rowOff>76200</xdr:rowOff>
    </xdr:from>
    <xdr:to>
      <xdr:col>33</xdr:col>
      <xdr:colOff>214670</xdr:colOff>
      <xdr:row>13</xdr:row>
      <xdr:rowOff>76200</xdr:rowOff>
    </xdr:to>
    <xdr:cxnSp macro="">
      <xdr:nvCxnSpPr>
        <xdr:cNvPr id="143671" name="직선 화살표 연결선 143670">
          <a:extLst>
            <a:ext uri="{FF2B5EF4-FFF2-40B4-BE49-F238E27FC236}">
              <a16:creationId xmlns:a16="http://schemas.microsoft.com/office/drawing/2014/main" id="{00000000-0008-0000-0100-000037310200}"/>
            </a:ext>
          </a:extLst>
        </xdr:cNvPr>
        <xdr:cNvCxnSpPr/>
      </xdr:nvCxnSpPr>
      <xdr:spPr>
        <a:xfrm>
          <a:off x="15310104" y="2263140"/>
          <a:ext cx="199622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763524</xdr:colOff>
      <xdr:row>12</xdr:row>
      <xdr:rowOff>19050</xdr:rowOff>
    </xdr:from>
    <xdr:to>
      <xdr:col>34</xdr:col>
      <xdr:colOff>1232760</xdr:colOff>
      <xdr:row>12</xdr:row>
      <xdr:rowOff>133350</xdr:rowOff>
    </xdr:to>
    <xdr:sp macro="" textlink="">
      <xdr:nvSpPr>
        <xdr:cNvPr id="143672" name="9">
          <a:extLst>
            <a:ext uri="{FF2B5EF4-FFF2-40B4-BE49-F238E27FC236}">
              <a16:creationId xmlns:a16="http://schemas.microsoft.com/office/drawing/2014/main" id="{00000000-0008-0000-0100-000038310200}"/>
            </a:ext>
          </a:extLst>
        </xdr:cNvPr>
        <xdr:cNvSpPr/>
      </xdr:nvSpPr>
      <xdr:spPr>
        <a:xfrm>
          <a:off x="15310104" y="2053590"/>
          <a:ext cx="428685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763524</xdr:colOff>
      <xdr:row>12</xdr:row>
      <xdr:rowOff>76200</xdr:rowOff>
    </xdr:from>
    <xdr:to>
      <xdr:col>33</xdr:col>
      <xdr:colOff>214670</xdr:colOff>
      <xdr:row>12</xdr:row>
      <xdr:rowOff>76200</xdr:rowOff>
    </xdr:to>
    <xdr:cxnSp macro="">
      <xdr:nvCxnSpPr>
        <xdr:cNvPr id="143673" name="직선 화살표 연결선 143672">
          <a:extLst>
            <a:ext uri="{FF2B5EF4-FFF2-40B4-BE49-F238E27FC236}">
              <a16:creationId xmlns:a16="http://schemas.microsoft.com/office/drawing/2014/main" id="{00000000-0008-0000-0100-000039310200}"/>
            </a:ext>
          </a:extLst>
        </xdr:cNvPr>
        <xdr:cNvCxnSpPr/>
      </xdr:nvCxnSpPr>
      <xdr:spPr>
        <a:xfrm>
          <a:off x="15310104" y="2110740"/>
          <a:ext cx="199622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763524</xdr:colOff>
      <xdr:row>11</xdr:row>
      <xdr:rowOff>19050</xdr:rowOff>
    </xdr:from>
    <xdr:to>
      <xdr:col>32</xdr:col>
      <xdr:colOff>1269</xdr:colOff>
      <xdr:row>11</xdr:row>
      <xdr:rowOff>133350</xdr:rowOff>
    </xdr:to>
    <xdr:sp macro="" textlink="">
      <xdr:nvSpPr>
        <xdr:cNvPr id="143674" name="8">
          <a:extLst>
            <a:ext uri="{FF2B5EF4-FFF2-40B4-BE49-F238E27FC236}">
              <a16:creationId xmlns:a16="http://schemas.microsoft.com/office/drawing/2014/main" id="{00000000-0008-0000-0100-00003A310200}"/>
            </a:ext>
          </a:extLst>
        </xdr:cNvPr>
        <xdr:cNvSpPr/>
      </xdr:nvSpPr>
      <xdr:spPr>
        <a:xfrm>
          <a:off x="15310104" y="1901190"/>
          <a:ext cx="5102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763524</xdr:colOff>
      <xdr:row>11</xdr:row>
      <xdr:rowOff>76200</xdr:rowOff>
    </xdr:from>
    <xdr:to>
      <xdr:col>32</xdr:col>
      <xdr:colOff>0</xdr:colOff>
      <xdr:row>11</xdr:row>
      <xdr:rowOff>76200</xdr:rowOff>
    </xdr:to>
    <xdr:cxnSp macro="">
      <xdr:nvCxnSpPr>
        <xdr:cNvPr id="143675" name="직선 화살표 연결선 143674">
          <a:extLst>
            <a:ext uri="{FF2B5EF4-FFF2-40B4-BE49-F238E27FC236}">
              <a16:creationId xmlns:a16="http://schemas.microsoft.com/office/drawing/2014/main" id="{00000000-0008-0000-0100-00003B310200}"/>
            </a:ext>
          </a:extLst>
        </xdr:cNvPr>
        <xdr:cNvCxnSpPr/>
      </xdr:nvCxnSpPr>
      <xdr:spPr>
        <a:xfrm>
          <a:off x="15310104" y="1958340"/>
          <a:ext cx="50901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763524</xdr:colOff>
      <xdr:row>10</xdr:row>
      <xdr:rowOff>19050</xdr:rowOff>
    </xdr:from>
    <xdr:to>
      <xdr:col>32</xdr:col>
      <xdr:colOff>1269</xdr:colOff>
      <xdr:row>10</xdr:row>
      <xdr:rowOff>133350</xdr:rowOff>
    </xdr:to>
    <xdr:sp macro="" textlink="">
      <xdr:nvSpPr>
        <xdr:cNvPr id="143676" name="7">
          <a:extLst>
            <a:ext uri="{FF2B5EF4-FFF2-40B4-BE49-F238E27FC236}">
              <a16:creationId xmlns:a16="http://schemas.microsoft.com/office/drawing/2014/main" id="{00000000-0008-0000-0100-00003C310200}"/>
            </a:ext>
          </a:extLst>
        </xdr:cNvPr>
        <xdr:cNvSpPr/>
      </xdr:nvSpPr>
      <xdr:spPr>
        <a:xfrm>
          <a:off x="15310104" y="1748790"/>
          <a:ext cx="5102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763524</xdr:colOff>
      <xdr:row>10</xdr:row>
      <xdr:rowOff>76200</xdr:rowOff>
    </xdr:from>
    <xdr:to>
      <xdr:col>32</xdr:col>
      <xdr:colOff>0</xdr:colOff>
      <xdr:row>10</xdr:row>
      <xdr:rowOff>76200</xdr:rowOff>
    </xdr:to>
    <xdr:cxnSp macro="">
      <xdr:nvCxnSpPr>
        <xdr:cNvPr id="143677" name="직선 화살표 연결선 143676">
          <a:extLst>
            <a:ext uri="{FF2B5EF4-FFF2-40B4-BE49-F238E27FC236}">
              <a16:creationId xmlns:a16="http://schemas.microsoft.com/office/drawing/2014/main" id="{00000000-0008-0000-0100-00003D310200}"/>
            </a:ext>
          </a:extLst>
        </xdr:cNvPr>
        <xdr:cNvCxnSpPr/>
      </xdr:nvCxnSpPr>
      <xdr:spPr>
        <a:xfrm>
          <a:off x="15310104" y="1805940"/>
          <a:ext cx="50901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763524</xdr:colOff>
      <xdr:row>9</xdr:row>
      <xdr:rowOff>19050</xdr:rowOff>
    </xdr:from>
    <xdr:to>
      <xdr:col>32</xdr:col>
      <xdr:colOff>1269</xdr:colOff>
      <xdr:row>9</xdr:row>
      <xdr:rowOff>133350</xdr:rowOff>
    </xdr:to>
    <xdr:sp macro="" textlink="">
      <xdr:nvSpPr>
        <xdr:cNvPr id="143678" name="6">
          <a:extLst>
            <a:ext uri="{FF2B5EF4-FFF2-40B4-BE49-F238E27FC236}">
              <a16:creationId xmlns:a16="http://schemas.microsoft.com/office/drawing/2014/main" id="{00000000-0008-0000-0100-00003E310200}"/>
            </a:ext>
          </a:extLst>
        </xdr:cNvPr>
        <xdr:cNvSpPr/>
      </xdr:nvSpPr>
      <xdr:spPr>
        <a:xfrm>
          <a:off x="15310104" y="1596390"/>
          <a:ext cx="5102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763524</xdr:colOff>
      <xdr:row>9</xdr:row>
      <xdr:rowOff>76200</xdr:rowOff>
    </xdr:from>
    <xdr:to>
      <xdr:col>32</xdr:col>
      <xdr:colOff>0</xdr:colOff>
      <xdr:row>9</xdr:row>
      <xdr:rowOff>76200</xdr:rowOff>
    </xdr:to>
    <xdr:cxnSp macro="">
      <xdr:nvCxnSpPr>
        <xdr:cNvPr id="143679" name="직선 화살표 연결선 143678">
          <a:extLst>
            <a:ext uri="{FF2B5EF4-FFF2-40B4-BE49-F238E27FC236}">
              <a16:creationId xmlns:a16="http://schemas.microsoft.com/office/drawing/2014/main" id="{00000000-0008-0000-0100-00003F310200}"/>
            </a:ext>
          </a:extLst>
        </xdr:cNvPr>
        <xdr:cNvCxnSpPr/>
      </xdr:nvCxnSpPr>
      <xdr:spPr>
        <a:xfrm>
          <a:off x="15310104" y="1653540"/>
          <a:ext cx="50901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763524</xdr:colOff>
      <xdr:row>8</xdr:row>
      <xdr:rowOff>19050</xdr:rowOff>
    </xdr:from>
    <xdr:to>
      <xdr:col>32</xdr:col>
      <xdr:colOff>1269</xdr:colOff>
      <xdr:row>8</xdr:row>
      <xdr:rowOff>133350</xdr:rowOff>
    </xdr:to>
    <xdr:sp macro="" textlink="">
      <xdr:nvSpPr>
        <xdr:cNvPr id="143680" name="5">
          <a:extLst>
            <a:ext uri="{FF2B5EF4-FFF2-40B4-BE49-F238E27FC236}">
              <a16:creationId xmlns:a16="http://schemas.microsoft.com/office/drawing/2014/main" id="{00000000-0008-0000-0100-000040310200}"/>
            </a:ext>
          </a:extLst>
        </xdr:cNvPr>
        <xdr:cNvSpPr/>
      </xdr:nvSpPr>
      <xdr:spPr>
        <a:xfrm>
          <a:off x="15310104" y="1443990"/>
          <a:ext cx="5102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763524</xdr:colOff>
      <xdr:row>8</xdr:row>
      <xdr:rowOff>76200</xdr:rowOff>
    </xdr:from>
    <xdr:to>
      <xdr:col>32</xdr:col>
      <xdr:colOff>0</xdr:colOff>
      <xdr:row>8</xdr:row>
      <xdr:rowOff>76200</xdr:rowOff>
    </xdr:to>
    <xdr:cxnSp macro="">
      <xdr:nvCxnSpPr>
        <xdr:cNvPr id="143681" name="직선 화살표 연결선 143680">
          <a:extLst>
            <a:ext uri="{FF2B5EF4-FFF2-40B4-BE49-F238E27FC236}">
              <a16:creationId xmlns:a16="http://schemas.microsoft.com/office/drawing/2014/main" id="{00000000-0008-0000-0100-000041310200}"/>
            </a:ext>
          </a:extLst>
        </xdr:cNvPr>
        <xdr:cNvCxnSpPr/>
      </xdr:nvCxnSpPr>
      <xdr:spPr>
        <a:xfrm>
          <a:off x="15310104" y="1501140"/>
          <a:ext cx="50901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763524</xdr:colOff>
      <xdr:row>7</xdr:row>
      <xdr:rowOff>19050</xdr:rowOff>
    </xdr:from>
    <xdr:to>
      <xdr:col>32</xdr:col>
      <xdr:colOff>1269</xdr:colOff>
      <xdr:row>7</xdr:row>
      <xdr:rowOff>133350</xdr:rowOff>
    </xdr:to>
    <xdr:sp macro="" textlink="">
      <xdr:nvSpPr>
        <xdr:cNvPr id="143682" name="4">
          <a:extLst>
            <a:ext uri="{FF2B5EF4-FFF2-40B4-BE49-F238E27FC236}">
              <a16:creationId xmlns:a16="http://schemas.microsoft.com/office/drawing/2014/main" id="{00000000-0008-0000-0100-000042310200}"/>
            </a:ext>
          </a:extLst>
        </xdr:cNvPr>
        <xdr:cNvSpPr/>
      </xdr:nvSpPr>
      <xdr:spPr>
        <a:xfrm>
          <a:off x="15310104" y="1291590"/>
          <a:ext cx="51028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763524</xdr:colOff>
      <xdr:row>7</xdr:row>
      <xdr:rowOff>76200</xdr:rowOff>
    </xdr:from>
    <xdr:to>
      <xdr:col>32</xdr:col>
      <xdr:colOff>0</xdr:colOff>
      <xdr:row>7</xdr:row>
      <xdr:rowOff>76200</xdr:rowOff>
    </xdr:to>
    <xdr:cxnSp macro="">
      <xdr:nvCxnSpPr>
        <xdr:cNvPr id="143683" name="직선 화살표 연결선 143682">
          <a:extLst>
            <a:ext uri="{FF2B5EF4-FFF2-40B4-BE49-F238E27FC236}">
              <a16:creationId xmlns:a16="http://schemas.microsoft.com/office/drawing/2014/main" id="{00000000-0008-0000-0100-000043310200}"/>
            </a:ext>
          </a:extLst>
        </xdr:cNvPr>
        <xdr:cNvCxnSpPr/>
      </xdr:nvCxnSpPr>
      <xdr:spPr>
        <a:xfrm>
          <a:off x="15310104" y="1348740"/>
          <a:ext cx="50901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763524</xdr:colOff>
      <xdr:row>6</xdr:row>
      <xdr:rowOff>19050</xdr:rowOff>
    </xdr:from>
    <xdr:to>
      <xdr:col>35</xdr:col>
      <xdr:colOff>247567</xdr:colOff>
      <xdr:row>6</xdr:row>
      <xdr:rowOff>133350</xdr:rowOff>
    </xdr:to>
    <xdr:sp macro="" textlink="">
      <xdr:nvSpPr>
        <xdr:cNvPr id="143684" name="3">
          <a:extLst>
            <a:ext uri="{FF2B5EF4-FFF2-40B4-BE49-F238E27FC236}">
              <a16:creationId xmlns:a16="http://schemas.microsoft.com/office/drawing/2014/main" id="{00000000-0008-0000-0100-000044310200}"/>
            </a:ext>
          </a:extLst>
        </xdr:cNvPr>
        <xdr:cNvSpPr/>
      </xdr:nvSpPr>
      <xdr:spPr>
        <a:xfrm>
          <a:off x="15310104" y="1139190"/>
          <a:ext cx="45742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763524</xdr:colOff>
      <xdr:row>6</xdr:row>
      <xdr:rowOff>76200</xdr:rowOff>
    </xdr:from>
    <xdr:to>
      <xdr:col>33</xdr:col>
      <xdr:colOff>441921</xdr:colOff>
      <xdr:row>6</xdr:row>
      <xdr:rowOff>76200</xdr:rowOff>
    </xdr:to>
    <xdr:cxnSp macro="">
      <xdr:nvCxnSpPr>
        <xdr:cNvPr id="143685" name="직선 화살표 연결선 143684">
          <a:extLst>
            <a:ext uri="{FF2B5EF4-FFF2-40B4-BE49-F238E27FC236}">
              <a16:creationId xmlns:a16="http://schemas.microsoft.com/office/drawing/2014/main" id="{00000000-0008-0000-0100-000045310200}"/>
            </a:ext>
          </a:extLst>
        </xdr:cNvPr>
        <xdr:cNvCxnSpPr/>
      </xdr:nvCxnSpPr>
      <xdr:spPr>
        <a:xfrm>
          <a:off x="15310104" y="1196340"/>
          <a:ext cx="222347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763524</xdr:colOff>
      <xdr:row>5</xdr:row>
      <xdr:rowOff>19050</xdr:rowOff>
    </xdr:from>
    <xdr:to>
      <xdr:col>35</xdr:col>
      <xdr:colOff>534916</xdr:colOff>
      <xdr:row>5</xdr:row>
      <xdr:rowOff>133350</xdr:rowOff>
    </xdr:to>
    <xdr:sp macro="" textlink="">
      <xdr:nvSpPr>
        <xdr:cNvPr id="143686" name="2">
          <a:extLst>
            <a:ext uri="{FF2B5EF4-FFF2-40B4-BE49-F238E27FC236}">
              <a16:creationId xmlns:a16="http://schemas.microsoft.com/office/drawing/2014/main" id="{00000000-0008-0000-0100-000046310200}"/>
            </a:ext>
          </a:extLst>
        </xdr:cNvPr>
        <xdr:cNvSpPr/>
      </xdr:nvSpPr>
      <xdr:spPr>
        <a:xfrm>
          <a:off x="15310104" y="986790"/>
          <a:ext cx="486155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763524</xdr:colOff>
      <xdr:row>5</xdr:row>
      <xdr:rowOff>76200</xdr:rowOff>
    </xdr:from>
    <xdr:to>
      <xdr:col>33</xdr:col>
      <xdr:colOff>171413</xdr:colOff>
      <xdr:row>5</xdr:row>
      <xdr:rowOff>76200</xdr:rowOff>
    </xdr:to>
    <xdr:cxnSp macro="">
      <xdr:nvCxnSpPr>
        <xdr:cNvPr id="143687" name="직선 화살표 연결선 143686">
          <a:extLst>
            <a:ext uri="{FF2B5EF4-FFF2-40B4-BE49-F238E27FC236}">
              <a16:creationId xmlns:a16="http://schemas.microsoft.com/office/drawing/2014/main" id="{00000000-0008-0000-0100-000047310200}"/>
            </a:ext>
          </a:extLst>
        </xdr:cNvPr>
        <xdr:cNvCxnSpPr/>
      </xdr:nvCxnSpPr>
      <xdr:spPr>
        <a:xfrm>
          <a:off x="15310104" y="1043940"/>
          <a:ext cx="195296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169672</xdr:colOff>
      <xdr:row>4</xdr:row>
      <xdr:rowOff>19050</xdr:rowOff>
    </xdr:from>
    <xdr:to>
      <xdr:col>36</xdr:col>
      <xdr:colOff>1270</xdr:colOff>
      <xdr:row>4</xdr:row>
      <xdr:rowOff>133350</xdr:rowOff>
    </xdr:to>
    <xdr:sp macro="" textlink="">
      <xdr:nvSpPr>
        <xdr:cNvPr id="143688" name="1">
          <a:extLst>
            <a:ext uri="{FF2B5EF4-FFF2-40B4-BE49-F238E27FC236}">
              <a16:creationId xmlns:a16="http://schemas.microsoft.com/office/drawing/2014/main" id="{00000000-0008-0000-0100-000048310200}"/>
            </a:ext>
          </a:extLst>
        </xdr:cNvPr>
        <xdr:cNvSpPr/>
      </xdr:nvSpPr>
      <xdr:spPr>
        <a:xfrm>
          <a:off x="14716252" y="834390"/>
          <a:ext cx="619429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169672</xdr:colOff>
      <xdr:row>4</xdr:row>
      <xdr:rowOff>76200</xdr:rowOff>
    </xdr:from>
    <xdr:to>
      <xdr:col>33</xdr:col>
      <xdr:colOff>315933</xdr:colOff>
      <xdr:row>4</xdr:row>
      <xdr:rowOff>76200</xdr:rowOff>
    </xdr:to>
    <xdr:cxnSp macro="">
      <xdr:nvCxnSpPr>
        <xdr:cNvPr id="143689" name="직선 화살표 연결선 143688">
          <a:extLst>
            <a:ext uri="{FF2B5EF4-FFF2-40B4-BE49-F238E27FC236}">
              <a16:creationId xmlns:a16="http://schemas.microsoft.com/office/drawing/2014/main" id="{00000000-0008-0000-0100-000049310200}"/>
            </a:ext>
          </a:extLst>
        </xdr:cNvPr>
        <xdr:cNvCxnSpPr/>
      </xdr:nvCxnSpPr>
      <xdr:spPr>
        <a:xfrm>
          <a:off x="14716252" y="891540"/>
          <a:ext cx="269134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project-scheduler/" TargetMode="External"/><Relationship Id="rId18" Type="http://schemas.openxmlformats.org/officeDocument/2006/relationships/printerSettings" Target="../printerSettings/printerSettings1.bin"/><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17" Type="http://schemas.openxmlformats.org/officeDocument/2006/relationships/hyperlink" Target="https://xlworks.net/xlgantt-howto-16-task-dependencies/" TargetMode="External"/><Relationship Id="rId2" Type="http://schemas.openxmlformats.org/officeDocument/2006/relationships/hyperlink" Target="https://xlworks.net/xlgantt-howto-02-task/" TargetMode="External"/><Relationship Id="rId16" Type="http://schemas.openxmlformats.org/officeDocument/2006/relationships/hyperlink" Target="https://xlworks.net/xlgantt-howto-14-workloads/" TargetMode="External"/><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howto-15-color-theme/"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xlworks.net/xlgantt-howto-16-task-dependencies/" TargetMode="External"/><Relationship Id="rId1" Type="http://schemas.openxmlformats.org/officeDocument/2006/relationships/hyperlink" Target="https://xlworks.net/xlgantt-howto-16-task-dependencies/"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xlworks.io/xlgantt-project-schedul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sheetPr>
  <dimension ref="A1:L35"/>
  <sheetViews>
    <sheetView showGridLines="0" zoomScale="90" zoomScaleNormal="90" workbookViewId="0">
      <selection sqref="A1:G2"/>
    </sheetView>
  </sheetViews>
  <sheetFormatPr baseColWidth="10" defaultColWidth="9" defaultRowHeight="16"/>
  <cols>
    <col min="1" max="1" width="5.83203125" style="79" customWidth="1"/>
    <col min="2" max="2" width="29.83203125" style="100" customWidth="1"/>
    <col min="3" max="3" width="1.1640625" style="79" customWidth="1"/>
    <col min="4" max="11" width="9" style="79"/>
    <col min="12" max="12" width="19.5" style="79" customWidth="1"/>
    <col min="13" max="21" width="9" style="79"/>
    <col min="22" max="22" width="0" style="79" hidden="1" customWidth="1"/>
    <col min="23" max="26" width="9" style="79"/>
    <col min="27" max="28" width="0" style="79" hidden="1" customWidth="1"/>
    <col min="29" max="16384" width="9" style="79"/>
  </cols>
  <sheetData>
    <row r="1" spans="1:12" ht="20.25" customHeight="1">
      <c r="A1" s="232" t="s">
        <v>1385</v>
      </c>
      <c r="B1" s="233"/>
      <c r="C1" s="233"/>
      <c r="D1" s="233"/>
      <c r="E1" s="233"/>
      <c r="F1" s="233"/>
      <c r="G1" s="233"/>
      <c r="H1" s="111"/>
      <c r="I1" s="111"/>
      <c r="J1" s="236" t="s">
        <v>738</v>
      </c>
      <c r="K1" s="237"/>
      <c r="L1" s="237"/>
    </row>
    <row r="2" spans="1:12" s="32" customFormat="1" ht="33.75" customHeight="1">
      <c r="A2" s="234"/>
      <c r="B2" s="235"/>
      <c r="C2" s="235"/>
      <c r="D2" s="235"/>
      <c r="E2" s="235"/>
      <c r="F2" s="235"/>
      <c r="G2" s="235"/>
      <c r="H2" s="230" t="s">
        <v>1386</v>
      </c>
      <c r="I2" s="231"/>
      <c r="J2" s="231"/>
      <c r="K2" s="231"/>
      <c r="L2" s="231"/>
    </row>
    <row r="4" spans="1:12" ht="17.25" customHeight="1">
      <c r="B4" s="238" t="s">
        <v>1387</v>
      </c>
      <c r="C4" s="239"/>
      <c r="D4" s="239"/>
      <c r="E4" s="239"/>
      <c r="F4" s="239"/>
      <c r="G4" s="239"/>
      <c r="H4" s="239"/>
      <c r="I4" s="239"/>
      <c r="J4" s="239"/>
      <c r="K4" s="239"/>
      <c r="L4" s="239"/>
    </row>
    <row r="5" spans="1:12" ht="27.75" customHeight="1">
      <c r="B5" s="239"/>
      <c r="C5" s="239"/>
      <c r="D5" s="239"/>
      <c r="E5" s="239"/>
      <c r="F5" s="239"/>
      <c r="G5" s="239"/>
      <c r="H5" s="239"/>
      <c r="I5" s="239"/>
      <c r="J5" s="239"/>
      <c r="K5" s="239"/>
      <c r="L5" s="239"/>
    </row>
    <row r="6" spans="1:12" s="32" customFormat="1" ht="14">
      <c r="B6" s="80"/>
    </row>
    <row r="7" spans="1:12" s="32" customFormat="1" ht="19">
      <c r="B7" s="81" t="s">
        <v>1388</v>
      </c>
      <c r="D7" s="82"/>
    </row>
    <row r="8" spans="1:12" s="32" customFormat="1" ht="7.5" customHeight="1">
      <c r="B8" s="80"/>
    </row>
    <row r="9" spans="1:12" s="32" customFormat="1" ht="29.25" customHeight="1" thickBot="1">
      <c r="A9" s="83"/>
      <c r="B9" s="84" t="s">
        <v>449</v>
      </c>
      <c r="C9" s="83"/>
      <c r="D9" s="229" t="s">
        <v>1389</v>
      </c>
      <c r="E9" s="229"/>
      <c r="F9" s="229"/>
      <c r="G9" s="229"/>
      <c r="H9" s="229"/>
      <c r="I9" s="229"/>
      <c r="J9" s="229"/>
      <c r="K9" s="229"/>
      <c r="L9" s="229"/>
    </row>
    <row r="10" spans="1:12" s="32" customFormat="1" ht="29.25" customHeight="1" thickTop="1" thickBot="1">
      <c r="A10" s="83"/>
      <c r="B10" s="85" t="s">
        <v>450</v>
      </c>
      <c r="C10" s="83"/>
      <c r="D10" s="229" t="s">
        <v>1390</v>
      </c>
      <c r="E10" s="229"/>
      <c r="F10" s="229"/>
      <c r="G10" s="229"/>
      <c r="H10" s="229"/>
      <c r="I10" s="229"/>
      <c r="J10" s="229"/>
      <c r="K10" s="229"/>
      <c r="L10" s="229"/>
    </row>
    <row r="11" spans="1:12" s="32" customFormat="1" ht="29.25" customHeight="1" thickTop="1" thickBot="1">
      <c r="A11" s="83"/>
      <c r="B11" s="86" t="s">
        <v>451</v>
      </c>
      <c r="C11" s="83"/>
      <c r="D11" s="229" t="s">
        <v>1391</v>
      </c>
      <c r="E11" s="229"/>
      <c r="F11" s="229"/>
      <c r="G11" s="229"/>
      <c r="H11" s="229"/>
      <c r="I11" s="229"/>
      <c r="J11" s="229"/>
      <c r="K11" s="229"/>
      <c r="L11" s="229"/>
    </row>
    <row r="12" spans="1:12" s="32" customFormat="1" ht="29.25" customHeight="1" thickTop="1" thickBot="1">
      <c r="A12" s="83"/>
      <c r="B12" s="87" t="s">
        <v>452</v>
      </c>
      <c r="C12" s="83"/>
      <c r="D12" s="229" t="s">
        <v>1392</v>
      </c>
      <c r="E12" s="229"/>
      <c r="F12" s="229"/>
      <c r="G12" s="229"/>
      <c r="H12" s="229"/>
      <c r="I12" s="229"/>
      <c r="J12" s="229"/>
      <c r="K12" s="229"/>
      <c r="L12" s="229"/>
    </row>
    <row r="13" spans="1:12" s="32" customFormat="1" ht="29.25" customHeight="1" thickTop="1" thickBot="1">
      <c r="A13" s="83"/>
      <c r="B13" s="88" t="s">
        <v>537</v>
      </c>
      <c r="C13" s="83"/>
      <c r="D13" s="229" t="s">
        <v>1393</v>
      </c>
      <c r="E13" s="229"/>
      <c r="F13" s="229"/>
      <c r="G13" s="229"/>
      <c r="H13" s="229"/>
      <c r="I13" s="229"/>
      <c r="J13" s="229"/>
      <c r="K13" s="229"/>
      <c r="L13" s="229"/>
    </row>
    <row r="14" spans="1:12" s="32" customFormat="1" ht="29.25" customHeight="1" thickTop="1" thickBot="1">
      <c r="A14" s="83"/>
      <c r="B14" s="89" t="s">
        <v>453</v>
      </c>
      <c r="C14" s="83"/>
      <c r="D14" s="229" t="s">
        <v>1394</v>
      </c>
      <c r="E14" s="229"/>
      <c r="F14" s="229"/>
      <c r="G14" s="229"/>
      <c r="H14" s="229"/>
      <c r="I14" s="229"/>
      <c r="J14" s="229"/>
      <c r="K14" s="229"/>
      <c r="L14" s="229"/>
    </row>
    <row r="15" spans="1:12" ht="17" thickTop="1">
      <c r="A15" s="90"/>
      <c r="B15" s="91"/>
      <c r="C15" s="90"/>
      <c r="D15" s="92"/>
      <c r="E15" s="92"/>
      <c r="F15" s="92"/>
      <c r="G15" s="92"/>
      <c r="H15" s="92"/>
      <c r="I15" s="92"/>
      <c r="J15" s="92"/>
      <c r="K15" s="92"/>
      <c r="L15" s="92"/>
    </row>
    <row r="16" spans="1:12" s="32" customFormat="1" ht="19">
      <c r="B16" s="81" t="s">
        <v>1395</v>
      </c>
      <c r="D16" s="82"/>
    </row>
    <row r="17" spans="2:12" s="32" customFormat="1" ht="5.25" customHeight="1">
      <c r="B17" s="93"/>
      <c r="D17" s="82"/>
    </row>
    <row r="18" spans="2:12" s="32" customFormat="1" ht="26.25" customHeight="1" thickBot="1">
      <c r="B18" s="94" t="s">
        <v>1396</v>
      </c>
      <c r="D18" s="228" t="s">
        <v>1408</v>
      </c>
      <c r="E18" s="228"/>
      <c r="F18" s="228"/>
      <c r="G18" s="228"/>
      <c r="H18" s="228"/>
      <c r="I18" s="228"/>
      <c r="J18" s="228"/>
      <c r="K18" s="228"/>
      <c r="L18" s="101" t="s">
        <v>1420</v>
      </c>
    </row>
    <row r="19" spans="2:12" s="32" customFormat="1" ht="53.25" customHeight="1" thickTop="1" thickBot="1">
      <c r="B19" s="94" t="s">
        <v>559</v>
      </c>
      <c r="D19" s="228" t="s">
        <v>1409</v>
      </c>
      <c r="E19" s="228"/>
      <c r="F19" s="228"/>
      <c r="G19" s="228"/>
      <c r="H19" s="228"/>
      <c r="I19" s="228"/>
      <c r="J19" s="228"/>
      <c r="K19" s="228"/>
      <c r="L19" s="101" t="s">
        <v>1420</v>
      </c>
    </row>
    <row r="20" spans="2:12" s="32" customFormat="1" ht="26.25" customHeight="1" thickTop="1" thickBot="1">
      <c r="B20" s="94" t="s">
        <v>1397</v>
      </c>
      <c r="D20" s="228" t="s">
        <v>1410</v>
      </c>
      <c r="E20" s="228"/>
      <c r="F20" s="228"/>
      <c r="G20" s="228"/>
      <c r="H20" s="228"/>
      <c r="I20" s="228"/>
      <c r="J20" s="228"/>
      <c r="K20" s="228"/>
      <c r="L20" s="101" t="s">
        <v>1420</v>
      </c>
    </row>
    <row r="21" spans="2:12" s="32" customFormat="1" ht="26.25" customHeight="1" thickTop="1" thickBot="1">
      <c r="B21" s="94" t="s">
        <v>1398</v>
      </c>
      <c r="D21" s="228" t="s">
        <v>1411</v>
      </c>
      <c r="E21" s="228"/>
      <c r="F21" s="228"/>
      <c r="G21" s="228"/>
      <c r="H21" s="228"/>
      <c r="I21" s="228"/>
      <c r="J21" s="228"/>
      <c r="K21" s="228"/>
      <c r="L21" s="101" t="s">
        <v>1420</v>
      </c>
    </row>
    <row r="22" spans="2:12" s="32" customFormat="1" ht="33.75" customHeight="1" thickTop="1" thickBot="1">
      <c r="B22" s="94" t="s">
        <v>1399</v>
      </c>
      <c r="D22" s="228" t="s">
        <v>1412</v>
      </c>
      <c r="E22" s="228"/>
      <c r="F22" s="228"/>
      <c r="G22" s="228"/>
      <c r="H22" s="228"/>
      <c r="I22" s="228"/>
      <c r="J22" s="228"/>
      <c r="K22" s="228"/>
      <c r="L22" s="101" t="s">
        <v>1420</v>
      </c>
    </row>
    <row r="23" spans="2:12" s="32" customFormat="1" ht="52.5" customHeight="1" thickTop="1" thickBot="1">
      <c r="B23" s="94" t="s">
        <v>1400</v>
      </c>
      <c r="D23" s="228" t="s">
        <v>1413</v>
      </c>
      <c r="E23" s="228"/>
      <c r="F23" s="228"/>
      <c r="G23" s="228"/>
      <c r="H23" s="228"/>
      <c r="I23" s="228"/>
      <c r="J23" s="228"/>
      <c r="K23" s="228"/>
      <c r="L23" s="101" t="s">
        <v>1420</v>
      </c>
    </row>
    <row r="24" spans="2:12" s="32" customFormat="1" ht="47.25" customHeight="1" thickTop="1" thickBot="1">
      <c r="B24" s="94" t="s">
        <v>1401</v>
      </c>
      <c r="D24" s="228" t="s">
        <v>1414</v>
      </c>
      <c r="E24" s="228"/>
      <c r="F24" s="228"/>
      <c r="G24" s="228"/>
      <c r="H24" s="228"/>
      <c r="I24" s="228"/>
      <c r="J24" s="228"/>
      <c r="K24" s="228"/>
      <c r="L24" s="101" t="s">
        <v>1420</v>
      </c>
    </row>
    <row r="25" spans="2:12" s="32" customFormat="1" ht="33.75" customHeight="1" thickTop="1" thickBot="1">
      <c r="B25" s="94" t="s">
        <v>1402</v>
      </c>
      <c r="D25" s="228" t="s">
        <v>1415</v>
      </c>
      <c r="E25" s="228"/>
      <c r="F25" s="228"/>
      <c r="G25" s="228"/>
      <c r="H25" s="228"/>
      <c r="I25" s="228"/>
      <c r="J25" s="228"/>
      <c r="K25" s="228"/>
      <c r="L25" s="101" t="s">
        <v>1420</v>
      </c>
    </row>
    <row r="26" spans="2:12" s="32" customFormat="1" ht="53.25" customHeight="1" thickTop="1" thickBot="1">
      <c r="B26" s="94" t="s">
        <v>1403</v>
      </c>
      <c r="D26" s="228" t="s">
        <v>1416</v>
      </c>
      <c r="E26" s="228"/>
      <c r="F26" s="228"/>
      <c r="G26" s="228"/>
      <c r="H26" s="228"/>
      <c r="I26" s="228"/>
      <c r="J26" s="228"/>
      <c r="K26" s="228"/>
      <c r="L26" s="101" t="s">
        <v>1420</v>
      </c>
    </row>
    <row r="27" spans="2:12" s="32" customFormat="1" ht="35.25" customHeight="1" thickTop="1" thickBot="1">
      <c r="B27" s="94" t="s">
        <v>1404</v>
      </c>
      <c r="D27" s="228" t="s">
        <v>1417</v>
      </c>
      <c r="E27" s="228"/>
      <c r="F27" s="228"/>
      <c r="G27" s="228"/>
      <c r="H27" s="228"/>
      <c r="I27" s="228"/>
      <c r="J27" s="228"/>
      <c r="K27" s="228"/>
      <c r="L27" s="101" t="s">
        <v>1420</v>
      </c>
    </row>
    <row r="28" spans="2:12" s="32" customFormat="1" ht="43.5" customHeight="1" thickTop="1" thickBot="1">
      <c r="B28" s="94" t="s">
        <v>452</v>
      </c>
      <c r="D28" s="228" t="s">
        <v>1418</v>
      </c>
      <c r="E28" s="228"/>
      <c r="F28" s="228"/>
      <c r="G28" s="228"/>
      <c r="H28" s="228"/>
      <c r="I28" s="228"/>
      <c r="J28" s="228"/>
      <c r="K28" s="228"/>
      <c r="L28" s="101" t="s">
        <v>1420</v>
      </c>
    </row>
    <row r="29" spans="2:12" s="32" customFormat="1" ht="49.5" customHeight="1" thickTop="1" thickBot="1">
      <c r="B29" s="94" t="s">
        <v>1405</v>
      </c>
      <c r="D29" s="228" t="s">
        <v>1419</v>
      </c>
      <c r="E29" s="228"/>
      <c r="F29" s="228"/>
      <c r="G29" s="228"/>
      <c r="H29" s="228"/>
      <c r="I29" s="228"/>
      <c r="J29" s="228"/>
      <c r="K29" s="228"/>
      <c r="L29" s="101" t="s">
        <v>1420</v>
      </c>
    </row>
    <row r="30" spans="2:12" s="32" customFormat="1" ht="24.75" customHeight="1" thickTop="1" thickBot="1">
      <c r="B30" s="182" t="s">
        <v>1406</v>
      </c>
      <c r="D30" s="228" t="s">
        <v>1356</v>
      </c>
      <c r="E30" s="228"/>
      <c r="F30" s="228"/>
      <c r="G30" s="228"/>
      <c r="H30" s="228"/>
      <c r="I30" s="228"/>
      <c r="J30" s="228"/>
      <c r="K30" s="228"/>
      <c r="L30" s="101" t="s">
        <v>1420</v>
      </c>
    </row>
    <row r="31" spans="2:12" s="32" customFormat="1" ht="24.75" customHeight="1" thickTop="1" thickBot="1">
      <c r="B31" s="94" t="s">
        <v>1407</v>
      </c>
      <c r="D31" s="228" t="s">
        <v>1357</v>
      </c>
      <c r="E31" s="228"/>
      <c r="F31" s="228"/>
      <c r="G31" s="228"/>
      <c r="H31" s="228"/>
      <c r="I31" s="228"/>
      <c r="J31" s="228"/>
      <c r="K31" s="228"/>
      <c r="L31" s="101" t="s">
        <v>1420</v>
      </c>
    </row>
    <row r="32" spans="2:12" s="32" customFormat="1" ht="24.75" customHeight="1" thickTop="1" thickBot="1">
      <c r="B32" s="94" t="s">
        <v>1368</v>
      </c>
      <c r="D32" s="228" t="s">
        <v>1372</v>
      </c>
      <c r="E32" s="228"/>
      <c r="F32" s="228"/>
      <c r="G32" s="228"/>
      <c r="H32" s="228"/>
      <c r="I32" s="228"/>
      <c r="J32" s="228"/>
      <c r="K32" s="228"/>
      <c r="L32" s="101" t="s">
        <v>1420</v>
      </c>
    </row>
    <row r="33" spans="2:12" s="32" customFormat="1" thickTop="1">
      <c r="B33" s="95"/>
      <c r="D33" s="82"/>
      <c r="L33" s="83"/>
    </row>
    <row r="34" spans="2:12" s="32" customFormat="1" ht="18.75" customHeight="1">
      <c r="B34" s="96" t="s">
        <v>1421</v>
      </c>
      <c r="C34" s="97"/>
      <c r="D34" s="98"/>
      <c r="E34" s="97"/>
      <c r="F34" s="97"/>
      <c r="G34" s="97"/>
      <c r="H34" s="97"/>
      <c r="I34" s="97"/>
      <c r="J34" s="97"/>
      <c r="K34" s="97"/>
      <c r="L34" s="99"/>
    </row>
    <row r="35" spans="2:12" s="32" customFormat="1" ht="59.25" customHeight="1">
      <c r="B35" s="240" t="s">
        <v>1422</v>
      </c>
      <c r="C35" s="240"/>
      <c r="D35" s="240"/>
      <c r="E35" s="240"/>
      <c r="F35" s="240"/>
      <c r="G35" s="240"/>
      <c r="H35" s="240"/>
      <c r="I35" s="240"/>
      <c r="J35" s="240"/>
      <c r="K35" s="240"/>
      <c r="L35" s="240"/>
    </row>
  </sheetData>
  <mergeCells count="26">
    <mergeCell ref="D31:K31"/>
    <mergeCell ref="D30:K30"/>
    <mergeCell ref="D28:K28"/>
    <mergeCell ref="D29:K29"/>
    <mergeCell ref="B35:L35"/>
    <mergeCell ref="D32:K32"/>
    <mergeCell ref="H2:L2"/>
    <mergeCell ref="D22:K22"/>
    <mergeCell ref="A1:G2"/>
    <mergeCell ref="D25:K25"/>
    <mergeCell ref="J1:L1"/>
    <mergeCell ref="D19:K19"/>
    <mergeCell ref="D20:K20"/>
    <mergeCell ref="D21:K21"/>
    <mergeCell ref="B4:L5"/>
    <mergeCell ref="D18:K18"/>
    <mergeCell ref="D9:L9"/>
    <mergeCell ref="D10:L10"/>
    <mergeCell ref="D26:K26"/>
    <mergeCell ref="D27:K27"/>
    <mergeCell ref="D11:L11"/>
    <mergeCell ref="D12:L12"/>
    <mergeCell ref="D14:L14"/>
    <mergeCell ref="D13:L13"/>
    <mergeCell ref="D23:K23"/>
    <mergeCell ref="D24:K24"/>
  </mergeCells>
  <phoneticPr fontId="1" type="noConversion"/>
  <hyperlinks>
    <hyperlink ref="B9" location="Schedule!A1" display="Schedule" xr:uid="{00000000-0004-0000-0000-000000000000}"/>
    <hyperlink ref="B10" location="Progress!A1" display="Progress" xr:uid="{00000000-0004-0000-0000-000001000000}"/>
    <hyperlink ref="B11" location="AnalysisReport!A1" display="AnalysisReport" xr:uid="{00000000-0004-0000-0000-000002000000}"/>
    <hyperlink ref="B13" location="Workload!A1" display="Workload" xr:uid="{00000000-0004-0000-0000-000003000000}"/>
    <hyperlink ref="L18" r:id="rId1" display="https://xlworks.net/xlgantt-easy-tip/" xr:uid="{00000000-0004-0000-0000-000004000000}"/>
    <hyperlink ref="L19" r:id="rId2" display="https://xlworks.net/xlgantt-howto-02-task/" xr:uid="{00000000-0004-0000-0000-000005000000}"/>
    <hyperlink ref="L20" r:id="rId3" display="https://xlworks.net/xlgantt-howto-03-gantt-chart/" xr:uid="{00000000-0004-0000-0000-000006000000}"/>
    <hyperlink ref="L22" r:id="rId4" display="https://xlworks.net/xlgantt-howto-05-analysis-report/" xr:uid="{00000000-0004-0000-0000-000007000000}"/>
    <hyperlink ref="L23" r:id="rId5" display="https://xlworks.net/xlgantt-howto-06-schedule-change-management/" xr:uid="{00000000-0004-0000-0000-000008000000}"/>
    <hyperlink ref="L24" r:id="rId6" display="https://xlworks.net/xlgantt-howto-07-deliverables/" xr:uid="{00000000-0004-0000-0000-000009000000}"/>
    <hyperlink ref="L25" r:id="rId7" display="https://xlworks.net/xlgantt-howto-08-add-tasks-to-outlook/" xr:uid="{00000000-0004-0000-0000-00000A000000}"/>
    <hyperlink ref="L26" r:id="rId8" display="https://xlworks.net/xlgantt-howto-09-multilingual-support/" xr:uid="{00000000-0004-0000-0000-00000B000000}"/>
    <hyperlink ref="L27" r:id="rId9" display="https://xlworks.net/xlgantt-howto-10-import-schedule/" xr:uid="{00000000-0004-0000-0000-00000C000000}"/>
    <hyperlink ref="L28" r:id="rId10" display="https://xlworks.net/xlgantt-howto-11-calendar/" xr:uid="{00000000-0004-0000-0000-00000D000000}"/>
    <hyperlink ref="L29" r:id="rId11" display="https://xlworks.net/xlgantt-howto-12-integration-with-excel/" xr:uid="{00000000-0004-0000-0000-00000E000000}"/>
    <hyperlink ref="L21" r:id="rId12" display="https://xlworks.net/xlgantt-howto-04-project-progress/" xr:uid="{00000000-0004-0000-0000-00000F000000}"/>
    <hyperlink ref="B12" location="Calendar!A1" display="Calendar" xr:uid="{00000000-0004-0000-0000-000010000000}"/>
    <hyperlink ref="J1" r:id="rId13" display="https://xlworks.net/xlgantt-project-scheduler/" xr:uid="{00000000-0004-0000-0000-000011000000}"/>
    <hyperlink ref="H2" r:id="rId14" display="https://xlworks.net/xlgantt-project-scheduler/" xr:uid="{00000000-0004-0000-0000-000012000000}"/>
    <hyperlink ref="L31" r:id="rId15" display="https://xlworks.net/xlgantt-howto-15-color-theme/" xr:uid="{00000000-0004-0000-0000-000013000000}"/>
    <hyperlink ref="L30" r:id="rId16" display="https://xlworks.net/xlgantt-howto-14-workloads/" xr:uid="{00000000-0004-0000-0000-000014000000}"/>
    <hyperlink ref="L32" r:id="rId17" display="https://xlworks.net/xlgantt-howto-16-task-dependencies/" xr:uid="{00000000-0004-0000-0000-000015000000}"/>
  </hyperlinks>
  <pageMargins left="0.7" right="0.7" top="0.75" bottom="0.75" header="0.3" footer="0.3"/>
  <pageSetup paperSize="9" orientation="portrait" horizontalDpi="300" verticalDpi="300" r:id="rId1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tabColor rgb="FF00A44A"/>
    <outlinePr summaryBelow="0"/>
    <pageSetUpPr fitToPage="1"/>
  </sheetPr>
  <dimension ref="A1:FX257"/>
  <sheetViews>
    <sheetView tabSelected="1" topLeftCell="D1" zoomScaleNormal="100" zoomScaleSheetLayoutView="115" zoomScalePageLayoutView="55" workbookViewId="0">
      <pane ySplit="4" topLeftCell="A54" activePane="bottomLeft" state="frozen"/>
      <selection activeCell="D1" sqref="D1"/>
      <selection pane="bottomLeft" activeCell="O71" sqref="O71"/>
    </sheetView>
  </sheetViews>
  <sheetFormatPr baseColWidth="10" defaultColWidth="10" defaultRowHeight="12" customHeight="1" outlineLevelRow="7"/>
  <cols>
    <col min="1" max="1" width="9.1640625" style="138" hidden="1" customWidth="1"/>
    <col min="2" max="2" width="9" style="138" hidden="1" customWidth="1"/>
    <col min="3" max="3" width="8.33203125" style="138" hidden="1" customWidth="1"/>
    <col min="4" max="4" width="9.6640625" style="139" customWidth="1"/>
    <col min="5" max="14" width="4" style="140" customWidth="1"/>
    <col min="15" max="15" width="9.6640625" style="140" bestFit="1" customWidth="1"/>
    <col min="16" max="16" width="10.33203125" style="141" bestFit="1" customWidth="1"/>
    <col min="17" max="17" width="10" style="141" bestFit="1" customWidth="1"/>
    <col min="18" max="18" width="7.6640625" style="140" hidden="1" customWidth="1"/>
    <col min="19" max="19" width="7.33203125" style="142" customWidth="1"/>
    <col min="20" max="20" width="8.33203125" style="142" customWidth="1"/>
    <col min="21" max="21" width="6" style="142" customWidth="1"/>
    <col min="22" max="22" width="5.83203125" style="142" customWidth="1"/>
    <col min="23" max="24" width="9.6640625" style="141" customWidth="1"/>
    <col min="25" max="25" width="7.5" style="143" customWidth="1"/>
    <col min="26" max="26" width="6" style="144" hidden="1" customWidth="1"/>
    <col min="27" max="27" width="6.1640625" style="142" hidden="1" customWidth="1"/>
    <col min="28" max="28" width="16.1640625" style="226" bestFit="1" customWidth="1"/>
    <col min="29" max="29" width="22.83203125" style="222" customWidth="1"/>
    <col min="30" max="30" width="8.33203125" style="145" bestFit="1" customWidth="1"/>
    <col min="31" max="31" width="9.1640625" style="146" customWidth="1"/>
    <col min="32" max="180" width="16.6640625" style="116" customWidth="1"/>
    <col min="181" max="16384" width="10" style="116"/>
  </cols>
  <sheetData>
    <row r="1" spans="1:180" s="128" customFormat="1" ht="25" customHeight="1">
      <c r="A1" s="117"/>
      <c r="B1" s="118"/>
      <c r="C1" s="119"/>
      <c r="D1" s="148" t="e" cm="1">
        <f t="array" aca="1" ref="D1" ca="1">xlgantt.ProjectName()</f>
        <v>#NAME?</v>
      </c>
      <c r="E1" s="120"/>
      <c r="F1" s="120"/>
      <c r="G1" s="120"/>
      <c r="H1" s="120"/>
      <c r="I1" s="120"/>
      <c r="J1" s="120"/>
      <c r="K1" s="120"/>
      <c r="L1" s="120"/>
      <c r="M1" s="120"/>
      <c r="N1" s="120"/>
      <c r="O1" s="120"/>
      <c r="P1" s="120"/>
      <c r="Q1" s="121"/>
      <c r="R1" s="122"/>
      <c r="S1" s="123"/>
      <c r="T1" s="124"/>
      <c r="U1" s="125"/>
      <c r="V1" s="125"/>
      <c r="W1" s="126"/>
      <c r="X1" s="126"/>
      <c r="Y1" s="118"/>
      <c r="Z1" s="127"/>
      <c r="AA1" s="108"/>
      <c r="AB1" s="223"/>
      <c r="AC1" s="218"/>
      <c r="AD1" s="109"/>
      <c r="AE1" s="110" t="e" cm="1">
        <f t="array" aca="1" ref="AE1" ca="1">xlgantt.ProjectProgressString()</f>
        <v>#NAME?</v>
      </c>
      <c r="AF1" s="160" t="s">
        <v>1797</v>
      </c>
      <c r="AG1" s="147"/>
      <c r="AH1" s="147"/>
      <c r="AI1" s="147"/>
      <c r="AJ1" s="147"/>
      <c r="AK1" s="147"/>
      <c r="AL1" s="147"/>
      <c r="AM1" s="147"/>
      <c r="AN1" s="147"/>
      <c r="AO1" s="147"/>
      <c r="AP1" s="147"/>
      <c r="AQ1" s="147"/>
      <c r="AR1" s="147"/>
      <c r="AS1" s="147"/>
      <c r="AT1" s="147"/>
      <c r="AU1" s="147"/>
      <c r="AV1" s="147"/>
      <c r="AW1" s="147"/>
      <c r="AX1" s="147"/>
      <c r="AY1" s="147"/>
      <c r="AZ1" s="147"/>
      <c r="BA1" s="147"/>
      <c r="BB1" s="147"/>
      <c r="BC1" s="147"/>
      <c r="BD1" s="147"/>
      <c r="BE1" s="147"/>
      <c r="BF1" s="147"/>
      <c r="BG1" s="147"/>
      <c r="BH1" s="147"/>
      <c r="BI1" s="147"/>
      <c r="BJ1" s="147"/>
    </row>
    <row r="2" spans="1:180" s="128" customFormat="1" ht="15" customHeight="1">
      <c r="A2" s="129"/>
      <c r="B2" s="129"/>
      <c r="C2" s="130"/>
      <c r="D2" s="243"/>
      <c r="E2" s="243"/>
      <c r="F2" s="243"/>
      <c r="G2" s="112"/>
      <c r="H2" s="131"/>
      <c r="I2" s="112"/>
      <c r="J2" s="112"/>
      <c r="K2" s="112"/>
      <c r="L2" s="112"/>
      <c r="M2" s="112"/>
      <c r="N2" s="112"/>
      <c r="O2" s="112"/>
      <c r="P2" s="112"/>
      <c r="Q2" s="112"/>
      <c r="R2" s="112"/>
      <c r="S2" s="113"/>
      <c r="T2" s="113"/>
      <c r="U2" s="113"/>
      <c r="V2" s="113"/>
      <c r="W2" s="112"/>
      <c r="X2" s="112"/>
      <c r="Y2" s="112"/>
      <c r="Z2" s="112"/>
      <c r="AA2" s="112"/>
      <c r="AB2" s="224"/>
      <c r="AC2" s="219"/>
      <c r="AD2" s="114"/>
      <c r="AE2" s="112" t="e" cm="1">
        <f t="array" aca="1" ref="AE2" ca="1">xlgantt.CommentOnHeadArea()</f>
        <v>#NAME?</v>
      </c>
      <c r="AF2" s="194"/>
      <c r="AG2" s="194" t="s">
        <v>1471</v>
      </c>
      <c r="AH2" s="194" t="s">
        <v>1460</v>
      </c>
      <c r="AI2" s="194" t="s">
        <v>1453</v>
      </c>
      <c r="AJ2" s="194" t="s">
        <v>1461</v>
      </c>
      <c r="AK2" s="194"/>
      <c r="AL2" s="194"/>
      <c r="AM2" s="194"/>
      <c r="AN2" s="194"/>
      <c r="AO2" s="194"/>
      <c r="AP2" s="194"/>
      <c r="AQ2" s="194"/>
      <c r="AR2" s="194"/>
      <c r="AS2" s="194"/>
      <c r="AT2" s="194"/>
      <c r="AU2" s="194"/>
      <c r="AV2" s="194"/>
      <c r="AW2" s="194"/>
      <c r="AX2" s="194"/>
      <c r="AY2" s="194"/>
      <c r="AZ2" s="194"/>
      <c r="BA2" s="194"/>
      <c r="BB2" s="194"/>
      <c r="BC2" s="194"/>
      <c r="BD2" s="194"/>
      <c r="BE2" s="194"/>
      <c r="BF2" s="194"/>
      <c r="BG2" s="194"/>
      <c r="BH2" s="194"/>
      <c r="BI2" s="194"/>
      <c r="BJ2" s="194"/>
      <c r="BK2" s="194"/>
      <c r="BL2" s="194"/>
      <c r="BM2" s="194"/>
      <c r="BN2" s="194"/>
      <c r="BO2" s="194"/>
      <c r="BP2" s="194"/>
      <c r="BQ2" s="194"/>
      <c r="BR2" s="194"/>
      <c r="BS2" s="194"/>
      <c r="BT2" s="194"/>
      <c r="BU2" s="194"/>
      <c r="BV2" s="194"/>
      <c r="BW2" s="194"/>
      <c r="BX2" s="194"/>
      <c r="BY2" s="194"/>
      <c r="BZ2" s="194"/>
      <c r="CA2" s="194"/>
      <c r="CB2" s="194"/>
      <c r="CC2" s="194"/>
      <c r="CD2" s="194"/>
      <c r="CE2" s="194"/>
      <c r="CF2" s="194"/>
      <c r="CG2" s="194"/>
      <c r="CH2" s="194"/>
      <c r="CI2" s="194"/>
      <c r="CJ2" s="194"/>
      <c r="CK2" s="194"/>
      <c r="CL2" s="194"/>
      <c r="CM2" s="194"/>
      <c r="CN2" s="194"/>
      <c r="CO2" s="194"/>
      <c r="CP2" s="194"/>
      <c r="CQ2" s="194"/>
      <c r="CR2" s="194"/>
      <c r="CS2" s="194"/>
      <c r="CT2" s="194"/>
      <c r="CU2" s="194"/>
      <c r="CV2" s="194"/>
      <c r="CW2" s="194"/>
      <c r="CX2" s="194"/>
      <c r="CY2" s="194"/>
      <c r="CZ2" s="194"/>
      <c r="DA2" s="194"/>
      <c r="DB2" s="194"/>
      <c r="DC2" s="194"/>
      <c r="DD2" s="194"/>
      <c r="DE2" s="194"/>
      <c r="DF2" s="194"/>
      <c r="DG2" s="194"/>
      <c r="DH2" s="194"/>
      <c r="DI2" s="194"/>
      <c r="DJ2" s="194"/>
      <c r="DK2" s="194"/>
      <c r="DL2" s="194"/>
      <c r="DM2" s="194"/>
      <c r="DN2" s="194"/>
      <c r="DO2" s="194"/>
      <c r="DP2" s="194"/>
      <c r="DQ2" s="194"/>
      <c r="DR2" s="194"/>
      <c r="DS2" s="194"/>
      <c r="DT2" s="194"/>
      <c r="DU2" s="194"/>
      <c r="DV2" s="194"/>
      <c r="DW2" s="194"/>
      <c r="DX2" s="194"/>
      <c r="DY2" s="194"/>
      <c r="DZ2" s="194"/>
      <c r="EA2" s="194"/>
      <c r="EB2" s="194"/>
      <c r="EC2" s="194"/>
      <c r="ED2" s="194"/>
      <c r="EE2" s="194"/>
      <c r="EF2" s="194"/>
      <c r="EG2" s="194"/>
      <c r="EH2" s="194"/>
      <c r="EI2" s="194"/>
      <c r="EJ2" s="194"/>
      <c r="EK2" s="194"/>
      <c r="EL2" s="194"/>
      <c r="EM2" s="194"/>
      <c r="EN2" s="194"/>
      <c r="EO2" s="194"/>
      <c r="EP2" s="194"/>
      <c r="EQ2" s="194"/>
      <c r="ER2" s="194"/>
      <c r="ES2" s="194"/>
      <c r="ET2" s="194"/>
      <c r="EU2" s="194"/>
      <c r="EV2" s="194"/>
      <c r="EW2" s="194"/>
      <c r="EX2" s="194"/>
      <c r="EY2" s="194"/>
      <c r="EZ2" s="194"/>
      <c r="FA2" s="194"/>
      <c r="FB2" s="194"/>
      <c r="FC2" s="194"/>
      <c r="FD2" s="194"/>
      <c r="FE2" s="194"/>
      <c r="FF2" s="194"/>
      <c r="FG2" s="194"/>
      <c r="FH2" s="194"/>
      <c r="FI2" s="194"/>
      <c r="FJ2" s="194"/>
      <c r="FK2" s="194"/>
      <c r="FL2" s="194"/>
      <c r="FM2" s="194"/>
      <c r="FN2" s="194"/>
      <c r="FO2" s="194"/>
      <c r="FP2" s="194"/>
      <c r="FQ2" s="194"/>
      <c r="FR2" s="194"/>
      <c r="FS2" s="194"/>
      <c r="FT2" s="194"/>
      <c r="FU2" s="194"/>
      <c r="FV2" s="194"/>
      <c r="FW2" s="194"/>
      <c r="FX2" s="194"/>
    </row>
    <row r="3" spans="1:180" s="115" customFormat="1" ht="19" customHeight="1">
      <c r="A3" s="261" t="s">
        <v>1899</v>
      </c>
      <c r="B3" s="263" t="s">
        <v>1884</v>
      </c>
      <c r="C3" s="265" t="s">
        <v>2172</v>
      </c>
      <c r="D3" s="266" t="s">
        <v>1904</v>
      </c>
      <c r="E3" s="267" t="s">
        <v>1893</v>
      </c>
      <c r="F3" s="268"/>
      <c r="G3" s="268"/>
      <c r="H3" s="268"/>
      <c r="I3" s="268"/>
      <c r="J3" s="268"/>
      <c r="K3" s="268"/>
      <c r="L3" s="268"/>
      <c r="M3" s="268"/>
      <c r="N3" s="268"/>
      <c r="O3" s="246" t="s">
        <v>1894</v>
      </c>
      <c r="P3" s="246" t="s">
        <v>1885</v>
      </c>
      <c r="Q3" s="246" t="s">
        <v>1886</v>
      </c>
      <c r="R3" s="248" t="s">
        <v>1887</v>
      </c>
      <c r="S3" s="250" t="s">
        <v>2170</v>
      </c>
      <c r="T3" s="256" t="s">
        <v>1888</v>
      </c>
      <c r="U3" s="250" t="s">
        <v>1487</v>
      </c>
      <c r="V3" s="250" t="s">
        <v>2173</v>
      </c>
      <c r="W3" s="258" t="s">
        <v>2174</v>
      </c>
      <c r="X3" s="258" t="s">
        <v>1889</v>
      </c>
      <c r="Y3" s="252" t="s">
        <v>1890</v>
      </c>
      <c r="Z3" s="254" t="s">
        <v>1864</v>
      </c>
      <c r="AA3" s="244" t="s">
        <v>1895</v>
      </c>
      <c r="AB3" s="246" t="s">
        <v>1900</v>
      </c>
      <c r="AC3" s="248" t="s">
        <v>1896</v>
      </c>
      <c r="AD3" s="259" t="s">
        <v>2175</v>
      </c>
      <c r="AE3" s="241" t="s">
        <v>1488</v>
      </c>
      <c r="AF3" s="211" t="s">
        <v>1800</v>
      </c>
      <c r="AG3" s="212" t="s">
        <v>1801</v>
      </c>
      <c r="AH3" s="212" t="s">
        <v>1802</v>
      </c>
      <c r="AI3" s="212" t="s">
        <v>1803</v>
      </c>
      <c r="AJ3" s="213" t="s">
        <v>1804</v>
      </c>
    </row>
    <row r="4" spans="1:180" s="115" customFormat="1" ht="6" customHeight="1">
      <c r="A4" s="262"/>
      <c r="B4" s="264"/>
      <c r="C4" s="261"/>
      <c r="D4" s="249"/>
      <c r="E4" s="269"/>
      <c r="F4" s="268"/>
      <c r="G4" s="268"/>
      <c r="H4" s="268"/>
      <c r="I4" s="268"/>
      <c r="J4" s="268"/>
      <c r="K4" s="268"/>
      <c r="L4" s="268"/>
      <c r="M4" s="268"/>
      <c r="N4" s="268"/>
      <c r="O4" s="247"/>
      <c r="P4" s="247"/>
      <c r="Q4" s="247"/>
      <c r="R4" s="249"/>
      <c r="S4" s="251"/>
      <c r="T4" s="257"/>
      <c r="U4" s="251"/>
      <c r="V4" s="251"/>
      <c r="W4" s="247"/>
      <c r="X4" s="247"/>
      <c r="Y4" s="253"/>
      <c r="Z4" s="255"/>
      <c r="AA4" s="245"/>
      <c r="AB4" s="247"/>
      <c r="AC4" s="249"/>
      <c r="AD4" s="260"/>
      <c r="AE4" s="242"/>
      <c r="AF4" s="214">
        <v>44805</v>
      </c>
      <c r="AG4" s="215">
        <v>44835</v>
      </c>
      <c r="AH4" s="215">
        <v>44866</v>
      </c>
      <c r="AI4" s="215">
        <v>44896</v>
      </c>
      <c r="AJ4" s="216">
        <v>44927</v>
      </c>
      <c r="AK4" s="217"/>
      <c r="AL4" s="217"/>
      <c r="AM4" s="217"/>
      <c r="AN4" s="217"/>
      <c r="AO4" s="217"/>
      <c r="AP4" s="217"/>
      <c r="AQ4" s="217"/>
      <c r="AR4" s="217"/>
      <c r="AS4" s="217"/>
      <c r="AT4" s="217"/>
      <c r="AU4" s="217"/>
      <c r="AV4" s="217"/>
      <c r="AW4" s="217"/>
      <c r="AX4" s="217"/>
      <c r="AY4" s="217"/>
      <c r="AZ4" s="217"/>
      <c r="BA4" s="217"/>
      <c r="BB4" s="217"/>
      <c r="BC4" s="217"/>
      <c r="BD4" s="217"/>
      <c r="BE4" s="217"/>
      <c r="BF4" s="217"/>
      <c r="BG4" s="217"/>
      <c r="BH4" s="217"/>
      <c r="BI4" s="217"/>
      <c r="BJ4" s="217"/>
      <c r="BK4" s="217"/>
      <c r="BL4" s="217"/>
      <c r="BM4" s="217"/>
      <c r="BN4" s="217"/>
      <c r="BO4" s="217"/>
      <c r="BP4" s="217"/>
      <c r="BQ4" s="217"/>
      <c r="BR4" s="217"/>
      <c r="BS4" s="217"/>
      <c r="BT4" s="217"/>
      <c r="BU4" s="217"/>
      <c r="BV4" s="217"/>
      <c r="BW4" s="217"/>
      <c r="BX4" s="217"/>
      <c r="BY4" s="217"/>
      <c r="BZ4" s="217"/>
      <c r="CA4" s="217"/>
      <c r="CB4" s="217"/>
      <c r="CC4" s="217"/>
      <c r="CD4" s="217"/>
      <c r="CE4" s="217"/>
      <c r="CF4" s="217"/>
      <c r="CG4" s="217"/>
      <c r="CH4" s="217"/>
      <c r="CI4" s="217"/>
      <c r="CJ4" s="217"/>
      <c r="CK4" s="217"/>
      <c r="CL4" s="217"/>
      <c r="CM4" s="217"/>
      <c r="CN4" s="217"/>
      <c r="CO4" s="217"/>
      <c r="CP4" s="217"/>
      <c r="CQ4" s="217"/>
      <c r="CR4" s="217"/>
      <c r="CS4" s="217"/>
      <c r="CT4" s="217"/>
      <c r="CU4" s="217"/>
      <c r="CV4" s="217"/>
      <c r="CW4" s="217"/>
      <c r="CX4" s="217"/>
      <c r="CY4" s="217"/>
      <c r="CZ4" s="217"/>
      <c r="DA4" s="217"/>
      <c r="DB4" s="217"/>
      <c r="DC4" s="217"/>
      <c r="DD4" s="217"/>
      <c r="DE4" s="217"/>
      <c r="DF4" s="217"/>
      <c r="DG4" s="217"/>
      <c r="DH4" s="217"/>
      <c r="DI4" s="217"/>
      <c r="DJ4" s="217"/>
      <c r="DK4" s="217"/>
      <c r="DL4" s="217"/>
      <c r="DM4" s="217"/>
      <c r="DN4" s="217"/>
      <c r="DO4" s="217"/>
      <c r="DP4" s="217"/>
      <c r="DQ4" s="217"/>
      <c r="DR4" s="217"/>
      <c r="DS4" s="217"/>
      <c r="DT4" s="217"/>
      <c r="DU4" s="217"/>
      <c r="DV4" s="217"/>
      <c r="DW4" s="217"/>
      <c r="DX4" s="217"/>
      <c r="DY4" s="217"/>
      <c r="DZ4" s="217"/>
      <c r="EA4" s="217"/>
      <c r="EB4" s="217"/>
      <c r="EC4" s="217"/>
      <c r="ED4" s="217"/>
      <c r="EE4" s="217"/>
      <c r="EF4" s="217"/>
      <c r="EG4" s="217"/>
      <c r="EH4" s="217"/>
      <c r="EI4" s="217"/>
      <c r="EJ4" s="217"/>
      <c r="EK4" s="217"/>
      <c r="EL4" s="217"/>
      <c r="EM4" s="217"/>
      <c r="EN4" s="217"/>
      <c r="EO4" s="217"/>
      <c r="EP4" s="217"/>
      <c r="EQ4" s="217"/>
      <c r="ER4" s="217"/>
      <c r="ES4" s="217"/>
      <c r="ET4" s="217"/>
      <c r="EU4" s="217"/>
      <c r="EV4" s="217"/>
      <c r="EW4" s="217"/>
      <c r="EX4" s="217"/>
      <c r="EY4" s="217"/>
      <c r="EZ4" s="217"/>
      <c r="FA4" s="217"/>
      <c r="FB4" s="217"/>
      <c r="FC4" s="217"/>
      <c r="FD4" s="217"/>
      <c r="FE4" s="217"/>
      <c r="FF4" s="217"/>
      <c r="FG4" s="217"/>
      <c r="FH4" s="217"/>
      <c r="FI4" s="217"/>
      <c r="FJ4" s="217"/>
      <c r="FK4" s="217"/>
      <c r="FL4" s="217"/>
      <c r="FM4" s="217"/>
      <c r="FN4" s="217"/>
      <c r="FO4" s="217"/>
      <c r="FP4" s="217"/>
      <c r="FQ4" s="217"/>
      <c r="FR4" s="217"/>
      <c r="FS4" s="217"/>
      <c r="FT4" s="217"/>
      <c r="FU4" s="217"/>
      <c r="FV4" s="217"/>
      <c r="FW4" s="217"/>
      <c r="FX4" s="217"/>
    </row>
    <row r="5" spans="1:180" ht="12" customHeight="1">
      <c r="A5" s="132"/>
      <c r="B5" s="132" t="s">
        <v>1363</v>
      </c>
      <c r="C5" s="132">
        <v>1</v>
      </c>
      <c r="D5" s="159" t="s">
        <v>495</v>
      </c>
      <c r="E5" s="133" t="s">
        <v>1806</v>
      </c>
      <c r="F5" s="133"/>
      <c r="G5" s="133"/>
      <c r="H5" s="133"/>
      <c r="I5" s="133"/>
      <c r="J5" s="133"/>
      <c r="K5" s="133"/>
      <c r="L5" s="133"/>
      <c r="M5" s="133"/>
      <c r="N5" s="133"/>
      <c r="O5" s="133"/>
      <c r="P5" s="134">
        <v>44809</v>
      </c>
      <c r="Q5" s="134">
        <v>44957</v>
      </c>
      <c r="R5" s="133"/>
      <c r="S5" s="135">
        <v>1620</v>
      </c>
      <c r="T5" s="135">
        <v>836</v>
      </c>
      <c r="U5" s="135">
        <v>103</v>
      </c>
      <c r="V5" s="135">
        <v>42</v>
      </c>
      <c r="W5" s="134">
        <v>44809</v>
      </c>
      <c r="X5" s="134"/>
      <c r="Y5" s="136">
        <v>725.01299999999992</v>
      </c>
      <c r="Z5" s="137">
        <v>0</v>
      </c>
      <c r="AA5" s="135"/>
      <c r="AB5" s="209" t="s">
        <v>1805</v>
      </c>
      <c r="AC5" s="220"/>
      <c r="AD5" s="158">
        <v>0.51604938271604939</v>
      </c>
      <c r="AE5" s="165">
        <v>0.43457592592592587</v>
      </c>
      <c r="AF5" s="162"/>
      <c r="AG5" s="163"/>
      <c r="AH5" s="163" t="str">
        <f>"                 " &amp; TEXT(AE5,"#0.00%") &amp; "/" &amp; TEXT(AD5,"#0.00% ") &amp; ""</f>
        <v xml:space="preserve">                 43.46%/51.60% </v>
      </c>
      <c r="AI5" s="163"/>
      <c r="AJ5" s="163"/>
      <c r="AK5" s="163" t="str">
        <f>"" &amp; "컴즈 사내 프로젝트" &amp; "(장영진,김희원,이현수)" &amp; " " &amp; IF(P5="","",TEXT(P5,"M/D-")) &amp; IF(Q5="","",TEXT(Q5,"M/D")) &amp; " "</f>
        <v xml:space="preserve">컴즈 사내 프로젝트(장영진,김희원,이현수) 9/5-1/31 </v>
      </c>
    </row>
    <row r="6" spans="1:180" ht="12" customHeight="1" outlineLevel="1">
      <c r="A6" s="132"/>
      <c r="B6" s="132" t="s">
        <v>1363</v>
      </c>
      <c r="C6" s="132">
        <v>2</v>
      </c>
      <c r="D6" s="159" t="s">
        <v>541</v>
      </c>
      <c r="E6" s="133"/>
      <c r="F6" s="133" t="s">
        <v>1814</v>
      </c>
      <c r="G6" s="133"/>
      <c r="H6" s="133"/>
      <c r="I6" s="133"/>
      <c r="J6" s="133"/>
      <c r="K6" s="133"/>
      <c r="L6" s="133"/>
      <c r="M6" s="133"/>
      <c r="N6" s="133"/>
      <c r="O6" s="133"/>
      <c r="P6" s="134">
        <v>44823</v>
      </c>
      <c r="Q6" s="134">
        <v>44939</v>
      </c>
      <c r="R6" s="133"/>
      <c r="S6" s="135">
        <v>1105</v>
      </c>
      <c r="T6" s="135">
        <v>598</v>
      </c>
      <c r="U6" s="135">
        <v>83</v>
      </c>
      <c r="V6" s="135">
        <v>34</v>
      </c>
      <c r="W6" s="134">
        <v>44823</v>
      </c>
      <c r="X6" s="134"/>
      <c r="Y6" s="136">
        <v>444.0136</v>
      </c>
      <c r="Z6" s="137">
        <v>0</v>
      </c>
      <c r="AA6" s="135"/>
      <c r="AB6" s="209"/>
      <c r="AC6" s="220"/>
      <c r="AD6" s="158">
        <v>0.54117647058823526</v>
      </c>
      <c r="AE6" s="165">
        <v>0.40182226244343894</v>
      </c>
      <c r="AF6" s="162"/>
      <c r="AG6" s="163"/>
      <c r="AH6" s="163" t="str">
        <f>"         " &amp; TEXT(AE6,"#0.00%") &amp; "/" &amp; TEXT(AD6,"#0.00% ") &amp; ""</f>
        <v xml:space="preserve">         40.18%/54.12% </v>
      </c>
      <c r="AI6" s="163"/>
      <c r="AJ6" s="163" t="str">
        <f>"                           " &amp; "컴즈 인트라넷 구축" &amp; " " &amp; IF(P6="","",TEXT(P6,"M/D-")) &amp; IF(Q6="","",TEXT(Q6,"M/D")) &amp; " "</f>
        <v xml:space="preserve">                           컴즈 인트라넷 구축 9/19-1/13 </v>
      </c>
      <c r="AK6" s="163"/>
    </row>
    <row r="7" spans="1:180" ht="12" customHeight="1" outlineLevel="2">
      <c r="A7" s="132"/>
      <c r="B7" s="132" t="s">
        <v>1363</v>
      </c>
      <c r="C7" s="132">
        <v>3</v>
      </c>
      <c r="D7" s="159" t="s">
        <v>1447</v>
      </c>
      <c r="E7" s="133"/>
      <c r="F7" s="133"/>
      <c r="G7" s="133" t="s">
        <v>1455</v>
      </c>
      <c r="H7" s="133"/>
      <c r="I7" s="133"/>
      <c r="J7" s="133"/>
      <c r="K7" s="133"/>
      <c r="L7" s="133"/>
      <c r="M7" s="133"/>
      <c r="N7" s="133"/>
      <c r="O7" s="133"/>
      <c r="P7" s="134">
        <v>44823</v>
      </c>
      <c r="Q7" s="134">
        <v>44932</v>
      </c>
      <c r="R7" s="133"/>
      <c r="S7" s="135">
        <v>362</v>
      </c>
      <c r="T7" s="135">
        <v>176</v>
      </c>
      <c r="U7" s="135">
        <v>78</v>
      </c>
      <c r="V7" s="135">
        <v>34</v>
      </c>
      <c r="W7" s="134">
        <v>44823</v>
      </c>
      <c r="X7" s="134"/>
      <c r="Y7" s="136">
        <v>176.0136</v>
      </c>
      <c r="Z7" s="137">
        <v>0</v>
      </c>
      <c r="AA7" s="135"/>
      <c r="AB7" s="209"/>
      <c r="AC7" s="220"/>
      <c r="AD7" s="158">
        <v>0.48618784530386738</v>
      </c>
      <c r="AE7" s="208">
        <v>0.4862254143646409</v>
      </c>
      <c r="AF7" s="162"/>
      <c r="AG7" s="163"/>
      <c r="AH7" s="163" t="str">
        <f>"                     " &amp; TEXT(AE7,"#0.00%") &amp; "/" &amp; TEXT(AD7,"#0.00% ") &amp; ""</f>
        <v xml:space="preserve">                     48.62%/48.62% </v>
      </c>
      <c r="AI7" s="163"/>
      <c r="AJ7" s="163" t="str">
        <f>"            " &amp; "프로젝트 관리" &amp; " " &amp; IF(P7="","",TEXT(P7,"M/D-")) &amp; IF(Q7="","",TEXT(Q7,"M/D")) &amp; " "</f>
        <v xml:space="preserve">            프로젝트 관리 9/19-1/6 </v>
      </c>
      <c r="AK7" s="163"/>
    </row>
    <row r="8" spans="1:180" ht="12" customHeight="1" outlineLevel="3">
      <c r="A8" s="132"/>
      <c r="B8" s="132" t="s">
        <v>1363</v>
      </c>
      <c r="C8" s="132">
        <v>4</v>
      </c>
      <c r="D8" s="159" t="s">
        <v>1808</v>
      </c>
      <c r="E8" s="133"/>
      <c r="F8" s="133"/>
      <c r="G8" s="133"/>
      <c r="H8" s="133" t="s">
        <v>1807</v>
      </c>
      <c r="I8" s="133"/>
      <c r="J8" s="133"/>
      <c r="K8" s="133"/>
      <c r="L8" s="133"/>
      <c r="M8" s="133"/>
      <c r="N8" s="133"/>
      <c r="O8" s="133"/>
      <c r="P8" s="134">
        <v>44823</v>
      </c>
      <c r="Q8" s="134">
        <v>44834</v>
      </c>
      <c r="R8" s="133"/>
      <c r="S8" s="135">
        <v>40</v>
      </c>
      <c r="T8" s="135">
        <v>40</v>
      </c>
      <c r="U8" s="135">
        <v>10</v>
      </c>
      <c r="V8" s="135">
        <v>10</v>
      </c>
      <c r="W8" s="134">
        <v>44823</v>
      </c>
      <c r="X8" s="134">
        <v>44834</v>
      </c>
      <c r="Y8" s="136">
        <v>40</v>
      </c>
      <c r="Z8" s="137">
        <v>10</v>
      </c>
      <c r="AA8" s="135"/>
      <c r="AB8" s="209"/>
      <c r="AC8" s="220"/>
      <c r="AD8" s="158">
        <v>1</v>
      </c>
      <c r="AE8" s="192">
        <v>1</v>
      </c>
      <c r="AF8" s="162"/>
      <c r="AG8" s="163" t="str">
        <f>"" &amp; TEXT(AE8,"#0.00%") &amp; "/" &amp; TEXT(AD8,"#0.00% ") &amp; "" &amp; "계획" &amp; " " &amp; IF(P8="","",TEXT(P8,"M/D-")) &amp; IF(Q8="","",TEXT(Q8,"M/D")) &amp; " "</f>
        <v xml:space="preserve">100.00%/100.00% 계획 9/19-9/30 </v>
      </c>
      <c r="AH8" s="163"/>
      <c r="AI8" s="163"/>
      <c r="AJ8" s="163"/>
      <c r="AK8" s="163"/>
    </row>
    <row r="9" spans="1:180" ht="12" customHeight="1" outlineLevel="4">
      <c r="A9" s="132"/>
      <c r="B9" s="132"/>
      <c r="C9" s="132">
        <v>5</v>
      </c>
      <c r="D9" s="159" t="s">
        <v>1937</v>
      </c>
      <c r="E9" s="133"/>
      <c r="F9" s="133"/>
      <c r="G9" s="133"/>
      <c r="H9" s="133"/>
      <c r="I9" s="133" t="s">
        <v>1815</v>
      </c>
      <c r="J9" s="133"/>
      <c r="K9" s="133"/>
      <c r="L9" s="133"/>
      <c r="M9" s="133"/>
      <c r="N9" s="133"/>
      <c r="O9" s="133"/>
      <c r="P9" s="134">
        <v>44823</v>
      </c>
      <c r="Q9" s="134">
        <v>44834</v>
      </c>
      <c r="R9" s="133"/>
      <c r="S9" s="135">
        <v>10</v>
      </c>
      <c r="T9" s="135">
        <v>10</v>
      </c>
      <c r="U9" s="135">
        <v>10</v>
      </c>
      <c r="V9" s="135">
        <v>10</v>
      </c>
      <c r="W9" s="134">
        <v>44823</v>
      </c>
      <c r="X9" s="134">
        <v>44834</v>
      </c>
      <c r="Y9" s="136">
        <v>10</v>
      </c>
      <c r="Z9" s="137">
        <v>10</v>
      </c>
      <c r="AA9" s="135"/>
      <c r="AB9" s="209" t="s">
        <v>1883</v>
      </c>
      <c r="AC9" s="220"/>
      <c r="AD9" s="158">
        <v>1</v>
      </c>
      <c r="AE9" s="166">
        <v>1</v>
      </c>
      <c r="AF9" s="162"/>
      <c r="AG9" s="163" t="str">
        <f>"" &amp; TEXT(AE9,"#0.00%") &amp; "/" &amp; TEXT(AD9,"#0.00% ") &amp; "" &amp; "범위 확정" &amp; "(장매화)" &amp; " " &amp; IF(P9="","",TEXT(P9,"M/D-")) &amp; IF(Q9="","",TEXT(Q9,"M/D")) &amp; " "</f>
        <v xml:space="preserve">100.00%/100.00% 범위 확정(장매화) 9/19-9/30 </v>
      </c>
      <c r="AH9" s="163"/>
      <c r="AI9" s="163"/>
      <c r="AJ9" s="163"/>
      <c r="AK9" s="163"/>
    </row>
    <row r="10" spans="1:180" ht="12" customHeight="1" outlineLevel="4">
      <c r="A10" s="132"/>
      <c r="B10" s="132"/>
      <c r="C10" s="132">
        <v>5</v>
      </c>
      <c r="D10" s="159" t="s">
        <v>1938</v>
      </c>
      <c r="E10" s="133"/>
      <c r="F10" s="133"/>
      <c r="G10" s="133"/>
      <c r="H10" s="133"/>
      <c r="I10" s="133" t="s">
        <v>1816</v>
      </c>
      <c r="J10" s="133"/>
      <c r="K10" s="133"/>
      <c r="L10" s="133"/>
      <c r="M10" s="133"/>
      <c r="N10" s="133"/>
      <c r="O10" s="133"/>
      <c r="P10" s="134">
        <v>44823</v>
      </c>
      <c r="Q10" s="134">
        <v>44834</v>
      </c>
      <c r="R10" s="133"/>
      <c r="S10" s="135">
        <v>10</v>
      </c>
      <c r="T10" s="135">
        <v>10</v>
      </c>
      <c r="U10" s="135">
        <v>10</v>
      </c>
      <c r="V10" s="135">
        <v>10</v>
      </c>
      <c r="W10" s="134">
        <v>44823</v>
      </c>
      <c r="X10" s="134">
        <v>44834</v>
      </c>
      <c r="Y10" s="136">
        <v>10</v>
      </c>
      <c r="Z10" s="137">
        <v>10</v>
      </c>
      <c r="AA10" s="135"/>
      <c r="AB10" s="209" t="s">
        <v>1883</v>
      </c>
      <c r="AC10" s="220" t="s">
        <v>295</v>
      </c>
      <c r="AD10" s="158">
        <v>1</v>
      </c>
      <c r="AE10" s="166">
        <v>1</v>
      </c>
      <c r="AF10" s="162"/>
      <c r="AG10" s="163" t="str">
        <f>"" &amp; TEXT(AE10,"#0.00%") &amp; "/" &amp; TEXT(AD10,"#0.00% ") &amp; "" &amp; "WBS 정의" &amp; "(장매화)" &amp; " " &amp; IF(P10="","",TEXT(P10,"M/D-")) &amp; IF(Q10="","",TEXT(Q10,"M/D")) &amp; " "</f>
        <v xml:space="preserve">100.00%/100.00% WBS 정의(장매화) 9/19-9/30 </v>
      </c>
      <c r="AH10" s="163"/>
      <c r="AI10" s="163"/>
      <c r="AJ10" s="163"/>
      <c r="AK10" s="163"/>
    </row>
    <row r="11" spans="1:180" ht="12" customHeight="1" outlineLevel="4">
      <c r="A11" s="132"/>
      <c r="B11" s="132"/>
      <c r="C11" s="132">
        <v>5</v>
      </c>
      <c r="D11" s="159" t="s">
        <v>1939</v>
      </c>
      <c r="E11" s="133"/>
      <c r="F11" s="133"/>
      <c r="G11" s="133"/>
      <c r="H11" s="133"/>
      <c r="I11" s="133" t="s">
        <v>1817</v>
      </c>
      <c r="J11" s="133"/>
      <c r="K11" s="133"/>
      <c r="L11" s="133"/>
      <c r="M11" s="133"/>
      <c r="N11" s="133"/>
      <c r="O11" s="133"/>
      <c r="P11" s="134">
        <v>44823</v>
      </c>
      <c r="Q11" s="134">
        <v>44834</v>
      </c>
      <c r="R11" s="133"/>
      <c r="S11" s="135">
        <v>10</v>
      </c>
      <c r="T11" s="135">
        <v>10</v>
      </c>
      <c r="U11" s="135">
        <v>10</v>
      </c>
      <c r="V11" s="135">
        <v>10</v>
      </c>
      <c r="W11" s="134">
        <v>44823</v>
      </c>
      <c r="X11" s="134">
        <v>44834</v>
      </c>
      <c r="Y11" s="136">
        <v>10</v>
      </c>
      <c r="Z11" s="137">
        <v>10</v>
      </c>
      <c r="AA11" s="135"/>
      <c r="AB11" s="209" t="s">
        <v>1883</v>
      </c>
      <c r="AC11" s="220" t="s">
        <v>1901</v>
      </c>
      <c r="AD11" s="158">
        <v>1</v>
      </c>
      <c r="AE11" s="166">
        <v>1</v>
      </c>
      <c r="AF11" s="162"/>
      <c r="AG11" s="163" t="str">
        <f>"" &amp; TEXT(AE11,"#0.00%") &amp; "/" &amp; TEXT(AD11,"#0.00% ") &amp; "" &amp; "수행 계획 수립" &amp; "(장매화)" &amp; " " &amp; IF(P11="","",TEXT(P11,"M/D-")) &amp; IF(Q11="","",TEXT(Q11,"M/D")) &amp; " "</f>
        <v xml:space="preserve">100.00%/100.00% 수행 계획 수립(장매화) 9/19-9/30 </v>
      </c>
      <c r="AH11" s="163"/>
      <c r="AI11" s="163"/>
      <c r="AJ11" s="163"/>
      <c r="AK11" s="163"/>
    </row>
    <row r="12" spans="1:180" ht="12" customHeight="1" outlineLevel="4">
      <c r="A12" s="132"/>
      <c r="B12" s="132"/>
      <c r="C12" s="132">
        <v>5</v>
      </c>
      <c r="D12" s="159" t="s">
        <v>1940</v>
      </c>
      <c r="E12" s="133"/>
      <c r="F12" s="133"/>
      <c r="G12" s="133"/>
      <c r="H12" s="133"/>
      <c r="I12" s="133" t="s">
        <v>1818</v>
      </c>
      <c r="J12" s="133"/>
      <c r="K12" s="133"/>
      <c r="L12" s="133"/>
      <c r="M12" s="133"/>
      <c r="N12" s="133"/>
      <c r="O12" s="133"/>
      <c r="P12" s="134">
        <v>44823</v>
      </c>
      <c r="Q12" s="134">
        <v>44834</v>
      </c>
      <c r="R12" s="133"/>
      <c r="S12" s="135">
        <v>10</v>
      </c>
      <c r="T12" s="135">
        <v>10</v>
      </c>
      <c r="U12" s="135">
        <v>10</v>
      </c>
      <c r="V12" s="135">
        <v>10</v>
      </c>
      <c r="W12" s="134">
        <v>44823</v>
      </c>
      <c r="X12" s="134">
        <v>44834</v>
      </c>
      <c r="Y12" s="136">
        <v>10</v>
      </c>
      <c r="Z12" s="137">
        <v>10</v>
      </c>
      <c r="AA12" s="135"/>
      <c r="AB12" s="209" t="s">
        <v>1883</v>
      </c>
      <c r="AC12" s="220"/>
      <c r="AD12" s="158">
        <v>1</v>
      </c>
      <c r="AE12" s="166">
        <v>1</v>
      </c>
      <c r="AF12" s="162"/>
      <c r="AG12" s="163" t="str">
        <f>"" &amp; TEXT(AE12,"#0.00%") &amp; "/" &amp; TEXT(AD12,"#0.00% ") &amp; "" &amp; "착수 보고" &amp; "(장매화)" &amp; " " &amp; IF(P12="","",TEXT(P12,"M/D-")) &amp; IF(Q12="","",TEXT(Q12,"M/D")) &amp; " "</f>
        <v xml:space="preserve">100.00%/100.00% 착수 보고(장매화) 9/19-9/30 </v>
      </c>
      <c r="AH12" s="163"/>
      <c r="AI12" s="163"/>
      <c r="AJ12" s="163"/>
      <c r="AK12" s="163"/>
    </row>
    <row r="13" spans="1:180" ht="12" customHeight="1" outlineLevel="3">
      <c r="A13" s="132"/>
      <c r="B13" s="132" t="s">
        <v>1363</v>
      </c>
      <c r="C13" s="132">
        <v>4</v>
      </c>
      <c r="D13" s="159" t="s">
        <v>1809</v>
      </c>
      <c r="E13" s="133"/>
      <c r="F13" s="133"/>
      <c r="G13" s="133"/>
      <c r="H13" s="133" t="s">
        <v>1819</v>
      </c>
      <c r="I13" s="133"/>
      <c r="J13" s="133"/>
      <c r="K13" s="133"/>
      <c r="L13" s="133"/>
      <c r="M13" s="133"/>
      <c r="N13" s="133"/>
      <c r="O13" s="133"/>
      <c r="P13" s="134">
        <v>44823</v>
      </c>
      <c r="Q13" s="134">
        <v>44925</v>
      </c>
      <c r="R13" s="133"/>
      <c r="S13" s="135">
        <v>292</v>
      </c>
      <c r="T13" s="135">
        <v>136</v>
      </c>
      <c r="U13" s="135">
        <v>73</v>
      </c>
      <c r="V13" s="135">
        <v>34</v>
      </c>
      <c r="W13" s="134">
        <v>44823</v>
      </c>
      <c r="X13" s="134"/>
      <c r="Y13" s="136">
        <v>136.0136</v>
      </c>
      <c r="Z13" s="137">
        <v>0</v>
      </c>
      <c r="AA13" s="135"/>
      <c r="AB13" s="209"/>
      <c r="AC13" s="220"/>
      <c r="AD13" s="158">
        <v>0.46575342465753422</v>
      </c>
      <c r="AE13" s="208">
        <v>0.46579999999999999</v>
      </c>
      <c r="AF13" s="162"/>
      <c r="AG13" s="163"/>
      <c r="AH13" s="163" t="str">
        <f>"           " &amp; TEXT(AE13,"#0.00%") &amp; "/" &amp; TEXT(AD13,"#0.00% ") &amp; ""</f>
        <v xml:space="preserve">           46.58%/46.58% </v>
      </c>
      <c r="AI13" s="163" t="str">
        <f>"                                                              " &amp; "진행" &amp; " " &amp; IF(P13="","",TEXT(P13,"M/D-")) &amp; IF(Q13="","",TEXT(Q13,"M/D")) &amp; " "</f>
        <v xml:space="preserve">                                                              진행 9/19-12/30 </v>
      </c>
      <c r="AJ13" s="163"/>
      <c r="AK13" s="163"/>
    </row>
    <row r="14" spans="1:180" ht="12" customHeight="1" outlineLevel="4">
      <c r="A14" s="132"/>
      <c r="B14" s="132"/>
      <c r="C14" s="132">
        <v>5</v>
      </c>
      <c r="D14" s="159" t="s">
        <v>1941</v>
      </c>
      <c r="E14" s="133"/>
      <c r="F14" s="133"/>
      <c r="G14" s="133"/>
      <c r="H14" s="133"/>
      <c r="I14" s="133" t="s">
        <v>1820</v>
      </c>
      <c r="J14" s="133"/>
      <c r="K14" s="133"/>
      <c r="L14" s="133"/>
      <c r="M14" s="133"/>
      <c r="N14" s="133"/>
      <c r="O14" s="133"/>
      <c r="P14" s="134">
        <v>44823</v>
      </c>
      <c r="Q14" s="134">
        <v>44925</v>
      </c>
      <c r="R14" s="133"/>
      <c r="S14" s="135">
        <v>73</v>
      </c>
      <c r="T14" s="135">
        <v>34</v>
      </c>
      <c r="U14" s="135">
        <v>73</v>
      </c>
      <c r="V14" s="135">
        <v>34</v>
      </c>
      <c r="W14" s="134">
        <v>44823</v>
      </c>
      <c r="X14" s="134"/>
      <c r="Y14" s="136">
        <v>34.003399999999999</v>
      </c>
      <c r="Z14" s="137">
        <v>0</v>
      </c>
      <c r="AA14" s="135"/>
      <c r="AB14" s="209" t="s">
        <v>1883</v>
      </c>
      <c r="AC14" s="220"/>
      <c r="AD14" s="158">
        <v>0.46575342465753422</v>
      </c>
      <c r="AE14" s="207">
        <v>0.46579999999999999</v>
      </c>
      <c r="AF14" s="162"/>
      <c r="AG14" s="163"/>
      <c r="AH14" s="163" t="str">
        <f>"           " &amp; TEXT(AE14,"#0.00%") &amp; "/" &amp; TEXT(AD14,"#0.00% ") &amp; ""</f>
        <v xml:space="preserve">           46.58%/46.58% </v>
      </c>
      <c r="AI14" s="163" t="str">
        <f>"                                                              " &amp; "실행 지시 및 관리" &amp; "(장매화)" &amp; " " &amp; IF(P14="","",TEXT(P14,"M/D-")) &amp; IF(Q14="","",TEXT(Q14,"M/D")) &amp; " "</f>
        <v xml:space="preserve">                                                              실행 지시 및 관리(장매화) 9/19-12/30 </v>
      </c>
      <c r="AJ14" s="163"/>
      <c r="AK14" s="163"/>
    </row>
    <row r="15" spans="1:180" ht="12" customHeight="1" outlineLevel="4">
      <c r="A15" s="132"/>
      <c r="B15" s="132"/>
      <c r="C15" s="132">
        <v>5</v>
      </c>
      <c r="D15" s="159" t="s">
        <v>1942</v>
      </c>
      <c r="E15" s="133"/>
      <c r="F15" s="133"/>
      <c r="G15" s="133"/>
      <c r="H15" s="133"/>
      <c r="I15" s="133" t="s">
        <v>1821</v>
      </c>
      <c r="J15" s="133"/>
      <c r="K15" s="133"/>
      <c r="L15" s="133"/>
      <c r="M15" s="133"/>
      <c r="N15" s="133"/>
      <c r="O15" s="133"/>
      <c r="P15" s="134">
        <v>44823</v>
      </c>
      <c r="Q15" s="134">
        <v>44925</v>
      </c>
      <c r="R15" s="133"/>
      <c r="S15" s="135">
        <v>73</v>
      </c>
      <c r="T15" s="135">
        <v>34</v>
      </c>
      <c r="U15" s="135">
        <v>73</v>
      </c>
      <c r="V15" s="135">
        <v>34</v>
      </c>
      <c r="W15" s="134">
        <v>44823</v>
      </c>
      <c r="X15" s="134"/>
      <c r="Y15" s="136">
        <v>34.003399999999999</v>
      </c>
      <c r="Z15" s="137">
        <v>0</v>
      </c>
      <c r="AA15" s="135"/>
      <c r="AB15" s="209" t="s">
        <v>1883</v>
      </c>
      <c r="AC15" s="220"/>
      <c r="AD15" s="158">
        <v>0.46575342465753422</v>
      </c>
      <c r="AE15" s="207">
        <v>0.46579999999999999</v>
      </c>
      <c r="AF15" s="162"/>
      <c r="AG15" s="163"/>
      <c r="AH15" s="163" t="str">
        <f>"           " &amp; TEXT(AE15,"#0.00%") &amp; "/" &amp; TEXT(AD15,"#0.00% ") &amp; ""</f>
        <v xml:space="preserve">           46.58%/46.58% </v>
      </c>
      <c r="AI15" s="163" t="str">
        <f>"                                                              " &amp; "실행 검토 / 변화 관리" &amp; "(장매화)" &amp; " " &amp; IF(P15="","",TEXT(P15,"M/D-")) &amp; IF(Q15="","",TEXT(Q15,"M/D")) &amp; " "</f>
        <v xml:space="preserve">                                                              실행 검토 / 변화 관리(장매화) 9/19-12/30 </v>
      </c>
      <c r="AJ15" s="163"/>
      <c r="AK15" s="163"/>
    </row>
    <row r="16" spans="1:180" ht="12" customHeight="1" outlineLevel="4">
      <c r="A16" s="132"/>
      <c r="B16" s="132"/>
      <c r="C16" s="132">
        <v>5</v>
      </c>
      <c r="D16" s="159" t="s">
        <v>1943</v>
      </c>
      <c r="E16" s="133"/>
      <c r="F16" s="133"/>
      <c r="G16" s="133"/>
      <c r="H16" s="133"/>
      <c r="I16" s="133" t="s">
        <v>1822</v>
      </c>
      <c r="J16" s="133"/>
      <c r="K16" s="133"/>
      <c r="L16" s="133"/>
      <c r="M16" s="133"/>
      <c r="N16" s="133"/>
      <c r="O16" s="133"/>
      <c r="P16" s="134">
        <v>44823</v>
      </c>
      <c r="Q16" s="134">
        <v>44925</v>
      </c>
      <c r="R16" s="133"/>
      <c r="S16" s="135">
        <v>146</v>
      </c>
      <c r="T16" s="135">
        <v>68</v>
      </c>
      <c r="U16" s="135">
        <v>73</v>
      </c>
      <c r="V16" s="135">
        <v>34</v>
      </c>
      <c r="W16" s="134">
        <v>44823</v>
      </c>
      <c r="X16" s="134"/>
      <c r="Y16" s="136">
        <v>68.006799999999998</v>
      </c>
      <c r="Z16" s="137">
        <v>0</v>
      </c>
      <c r="AA16" s="135"/>
      <c r="AB16" s="209" t="s">
        <v>1903</v>
      </c>
      <c r="AC16" s="220"/>
      <c r="AD16" s="158">
        <v>0.46575342465753422</v>
      </c>
      <c r="AE16" s="207">
        <v>0.46579999999999999</v>
      </c>
      <c r="AF16" s="162"/>
      <c r="AG16" s="163"/>
      <c r="AH16" s="163" t="str">
        <f>"           " &amp; TEXT(AE16,"#0.00%") &amp; "/" &amp; TEXT(AD16,"#0.00% ") &amp; ""</f>
        <v xml:space="preserve">           46.58%/46.58% </v>
      </c>
      <c r="AI16" s="163" t="str">
        <f>"                                                              " &amp; "주간 보고 및 이슈 보고" &amp; "(송빈, 안용성)" &amp; " " &amp; IF(P16="","",TEXT(P16,"M/D-")) &amp; IF(Q16="","",TEXT(Q16,"M/D")) &amp; " "</f>
        <v xml:space="preserve">                                                              주간 보고 및 이슈 보고(송빈, 안용성) 9/19-12/30 </v>
      </c>
      <c r="AJ16" s="163"/>
      <c r="AK16" s="163"/>
    </row>
    <row r="17" spans="1:37" ht="12" customHeight="1" outlineLevel="3">
      <c r="A17" s="132"/>
      <c r="B17" s="132" t="s">
        <v>1363</v>
      </c>
      <c r="C17" s="132">
        <v>4</v>
      </c>
      <c r="D17" s="159" t="s">
        <v>1944</v>
      </c>
      <c r="E17" s="133"/>
      <c r="F17" s="133"/>
      <c r="G17" s="133"/>
      <c r="H17" s="133" t="s">
        <v>1823</v>
      </c>
      <c r="I17" s="133"/>
      <c r="J17" s="133"/>
      <c r="K17" s="133"/>
      <c r="L17" s="133"/>
      <c r="M17" s="133"/>
      <c r="N17" s="133"/>
      <c r="O17" s="133"/>
      <c r="P17" s="134">
        <v>44921</v>
      </c>
      <c r="Q17" s="134">
        <v>44932</v>
      </c>
      <c r="R17" s="133"/>
      <c r="S17" s="135">
        <v>30</v>
      </c>
      <c r="T17" s="135">
        <v>0</v>
      </c>
      <c r="U17" s="135">
        <v>10</v>
      </c>
      <c r="V17" s="135">
        <v>0</v>
      </c>
      <c r="W17" s="134"/>
      <c r="X17" s="134"/>
      <c r="Y17" s="136">
        <v>0</v>
      </c>
      <c r="Z17" s="137">
        <v>0</v>
      </c>
      <c r="AA17" s="135"/>
      <c r="AB17" s="209"/>
      <c r="AC17" s="220"/>
      <c r="AD17" s="158">
        <v>0</v>
      </c>
      <c r="AE17" s="192">
        <v>0</v>
      </c>
      <c r="AF17" s="162"/>
      <c r="AG17" s="163"/>
      <c r="AH17" s="163"/>
      <c r="AI17" s="163" t="str">
        <f>"                                                    " &amp; TEXT(AE17,"#0.00%") &amp; "/" &amp; TEXT(AD17,"#0.00% ") &amp; "" &amp; "완료" &amp; " " &amp; IF(P17="","",TEXT(P17,"M/D-")) &amp; IF(Q17="","",TEXT(Q17,"M/D")) &amp; " "</f>
        <v xml:space="preserve">                                                    0.00%/0.00% 완료 12/26-1/6 </v>
      </c>
      <c r="AJ17" s="163"/>
      <c r="AK17" s="163"/>
    </row>
    <row r="18" spans="1:37" ht="12" customHeight="1" outlineLevel="4">
      <c r="A18" s="132"/>
      <c r="B18" s="132"/>
      <c r="C18" s="132">
        <v>5</v>
      </c>
      <c r="D18" s="159" t="s">
        <v>1945</v>
      </c>
      <c r="E18" s="133"/>
      <c r="F18" s="133"/>
      <c r="G18" s="133"/>
      <c r="H18" s="133"/>
      <c r="I18" s="133" t="s">
        <v>1824</v>
      </c>
      <c r="J18" s="133"/>
      <c r="K18" s="133"/>
      <c r="L18" s="133"/>
      <c r="M18" s="133"/>
      <c r="N18" s="133"/>
      <c r="O18" s="133"/>
      <c r="P18" s="134">
        <v>44921</v>
      </c>
      <c r="Q18" s="134">
        <v>44932</v>
      </c>
      <c r="R18" s="133"/>
      <c r="S18" s="135">
        <v>10</v>
      </c>
      <c r="T18" s="135">
        <v>0</v>
      </c>
      <c r="U18" s="135">
        <v>10</v>
      </c>
      <c r="V18" s="135">
        <v>0</v>
      </c>
      <c r="W18" s="134"/>
      <c r="X18" s="134"/>
      <c r="Y18" s="136">
        <v>0</v>
      </c>
      <c r="Z18" s="137">
        <v>0</v>
      </c>
      <c r="AA18" s="135"/>
      <c r="AB18" s="209" t="s">
        <v>1883</v>
      </c>
      <c r="AC18" s="220"/>
      <c r="AD18" s="158">
        <v>0</v>
      </c>
      <c r="AE18" s="166">
        <v>0</v>
      </c>
      <c r="AF18" s="162"/>
      <c r="AG18" s="163"/>
      <c r="AH18" s="163"/>
      <c r="AI18" s="163" t="str">
        <f>"                                                    " &amp; TEXT(AE18,"#0.00%") &amp; "/" &amp; TEXT(AD18,"#0.00% ") &amp; "" &amp; "완료 준비" &amp; "(장매화)" &amp; " " &amp; IF(P18="","",TEXT(P18,"M/D-")) &amp; IF(Q18="","",TEXT(Q18,"M/D")) &amp; " "</f>
        <v xml:space="preserve">                                                    0.00%/0.00% 완료 준비(장매화) 12/26-1/6 </v>
      </c>
      <c r="AJ18" s="163"/>
      <c r="AK18" s="163"/>
    </row>
    <row r="19" spans="1:37" ht="12" customHeight="1" outlineLevel="4">
      <c r="A19" s="132"/>
      <c r="B19" s="132"/>
      <c r="C19" s="132">
        <v>5</v>
      </c>
      <c r="D19" s="159" t="s">
        <v>1946</v>
      </c>
      <c r="E19" s="133"/>
      <c r="F19" s="133"/>
      <c r="G19" s="133"/>
      <c r="H19" s="133"/>
      <c r="I19" s="133" t="s">
        <v>1825</v>
      </c>
      <c r="J19" s="133"/>
      <c r="K19" s="133"/>
      <c r="L19" s="133"/>
      <c r="M19" s="133"/>
      <c r="N19" s="133"/>
      <c r="O19" s="133"/>
      <c r="P19" s="134">
        <v>44921</v>
      </c>
      <c r="Q19" s="134">
        <v>44932</v>
      </c>
      <c r="R19" s="133"/>
      <c r="S19" s="135">
        <v>10</v>
      </c>
      <c r="T19" s="135">
        <v>0</v>
      </c>
      <c r="U19" s="135">
        <v>10</v>
      </c>
      <c r="V19" s="135">
        <v>0</v>
      </c>
      <c r="W19" s="134"/>
      <c r="X19" s="134"/>
      <c r="Y19" s="136">
        <v>0</v>
      </c>
      <c r="Z19" s="137">
        <v>0</v>
      </c>
      <c r="AA19" s="135"/>
      <c r="AB19" s="209" t="s">
        <v>1883</v>
      </c>
      <c r="AC19" s="220"/>
      <c r="AD19" s="158">
        <v>0</v>
      </c>
      <c r="AE19" s="166">
        <v>0</v>
      </c>
      <c r="AF19" s="162"/>
      <c r="AG19" s="163"/>
      <c r="AH19" s="163"/>
      <c r="AI19" s="163" t="str">
        <f>"                                                    " &amp; TEXT(AE19,"#0.00%") &amp; "/" &amp; TEXT(AD19,"#0.00% ") &amp; "" &amp; "검수" &amp; "(장매화)" &amp; " " &amp; IF(P19="","",TEXT(P19,"M/D-")) &amp; IF(Q19="","",TEXT(Q19,"M/D")) &amp; " "</f>
        <v xml:space="preserve">                                                    0.00%/0.00% 검수(장매화) 12/26-1/6 </v>
      </c>
      <c r="AJ19" s="163"/>
      <c r="AK19" s="163"/>
    </row>
    <row r="20" spans="1:37" ht="12" customHeight="1" outlineLevel="4">
      <c r="A20" s="132"/>
      <c r="B20" s="132"/>
      <c r="C20" s="132">
        <v>5</v>
      </c>
      <c r="D20" s="159" t="s">
        <v>1947</v>
      </c>
      <c r="E20" s="133"/>
      <c r="F20" s="133"/>
      <c r="G20" s="133"/>
      <c r="H20" s="133"/>
      <c r="I20" s="133" t="s">
        <v>1826</v>
      </c>
      <c r="J20" s="133"/>
      <c r="K20" s="133"/>
      <c r="L20" s="133"/>
      <c r="M20" s="133"/>
      <c r="N20" s="133"/>
      <c r="O20" s="133"/>
      <c r="P20" s="134">
        <v>44921</v>
      </c>
      <c r="Q20" s="134">
        <v>44932</v>
      </c>
      <c r="R20" s="133"/>
      <c r="S20" s="135">
        <v>10</v>
      </c>
      <c r="T20" s="135">
        <v>0</v>
      </c>
      <c r="U20" s="135">
        <v>10</v>
      </c>
      <c r="V20" s="135">
        <v>0</v>
      </c>
      <c r="W20" s="134"/>
      <c r="X20" s="134"/>
      <c r="Y20" s="136">
        <v>0</v>
      </c>
      <c r="Z20" s="137">
        <v>0</v>
      </c>
      <c r="AA20" s="135"/>
      <c r="AB20" s="209" t="s">
        <v>1883</v>
      </c>
      <c r="AC20" s="220"/>
      <c r="AD20" s="158">
        <v>0</v>
      </c>
      <c r="AE20" s="166">
        <v>0</v>
      </c>
      <c r="AF20" s="162"/>
      <c r="AG20" s="163"/>
      <c r="AH20" s="163"/>
      <c r="AI20" s="163" t="str">
        <f>"                                                    " &amp; TEXT(AE20,"#0.00%") &amp; "/" &amp; TEXT(AD20,"#0.00% ") &amp; "" &amp; "완료 보고" &amp; "(장매화)" &amp; " " &amp; IF(P20="","",TEXT(P20,"M/D-")) &amp; IF(Q20="","",TEXT(Q20,"M/D")) &amp; " "</f>
        <v xml:space="preserve">                                                    0.00%/0.00% 완료 보고(장매화) 12/26-1/6 </v>
      </c>
      <c r="AJ20" s="163"/>
      <c r="AK20" s="163"/>
    </row>
    <row r="21" spans="1:37" ht="12" customHeight="1" outlineLevel="2">
      <c r="A21" s="132"/>
      <c r="B21" s="132" t="s">
        <v>1363</v>
      </c>
      <c r="C21" s="132">
        <v>3</v>
      </c>
      <c r="D21" s="159" t="s">
        <v>1448</v>
      </c>
      <c r="E21" s="133"/>
      <c r="F21" s="133"/>
      <c r="G21" s="133" t="s">
        <v>1452</v>
      </c>
      <c r="H21" s="133"/>
      <c r="I21" s="133"/>
      <c r="J21" s="133"/>
      <c r="K21" s="133"/>
      <c r="L21" s="133"/>
      <c r="M21" s="133"/>
      <c r="N21" s="133"/>
      <c r="O21" s="133"/>
      <c r="P21" s="134">
        <v>44823</v>
      </c>
      <c r="Q21" s="134">
        <v>44939</v>
      </c>
      <c r="R21" s="133"/>
      <c r="S21" s="135">
        <v>743</v>
      </c>
      <c r="T21" s="135">
        <v>422</v>
      </c>
      <c r="U21" s="135">
        <v>83</v>
      </c>
      <c r="V21" s="135">
        <v>34</v>
      </c>
      <c r="W21" s="134">
        <v>44823</v>
      </c>
      <c r="X21" s="134"/>
      <c r="Y21" s="136">
        <v>268</v>
      </c>
      <c r="Z21" s="137">
        <v>0</v>
      </c>
      <c r="AA21" s="135"/>
      <c r="AB21" s="209"/>
      <c r="AC21" s="220"/>
      <c r="AD21" s="158">
        <v>0.56796769851951545</v>
      </c>
      <c r="AE21" s="165">
        <v>0.36069986541049798</v>
      </c>
      <c r="AF21" s="162"/>
      <c r="AG21" s="163" t="str">
        <f>"                                                              " &amp; TEXT(AE21,"#0.00%") &amp; "/" &amp; TEXT(AD21,"#0.00% ") &amp; ""</f>
        <v xml:space="preserve">                                                              36.07%/56.80% </v>
      </c>
      <c r="AH21" s="163"/>
      <c r="AI21" s="163"/>
      <c r="AJ21" s="163" t="str">
        <f>"                           " &amp; "개발" &amp; " " &amp; IF(P21="","",TEXT(P21,"M/D-")) &amp; IF(Q21="","",TEXT(Q21,"M/D")) &amp; " "</f>
        <v xml:space="preserve">                           개발 9/19-1/13 </v>
      </c>
      <c r="AK21" s="163"/>
    </row>
    <row r="22" spans="1:37" ht="12" customHeight="1" outlineLevel="3">
      <c r="A22" s="132"/>
      <c r="B22" s="132" t="s">
        <v>1363</v>
      </c>
      <c r="C22" s="132">
        <v>4</v>
      </c>
      <c r="D22" s="159" t="s">
        <v>1810</v>
      </c>
      <c r="E22" s="133"/>
      <c r="F22" s="133"/>
      <c r="G22" s="133"/>
      <c r="H22" s="133" t="s">
        <v>1827</v>
      </c>
      <c r="I22" s="133"/>
      <c r="J22" s="133"/>
      <c r="K22" s="133"/>
      <c r="L22" s="133"/>
      <c r="M22" s="133"/>
      <c r="N22" s="133"/>
      <c r="O22" s="133"/>
      <c r="P22" s="134">
        <v>44823</v>
      </c>
      <c r="Q22" s="134">
        <v>44862</v>
      </c>
      <c r="R22" s="133"/>
      <c r="S22" s="135">
        <v>71</v>
      </c>
      <c r="T22" s="135">
        <v>71</v>
      </c>
      <c r="U22" s="135">
        <v>28</v>
      </c>
      <c r="V22" s="135">
        <v>28</v>
      </c>
      <c r="W22" s="134">
        <v>44823</v>
      </c>
      <c r="X22" s="134"/>
      <c r="Y22" s="136">
        <v>50.699999999999996</v>
      </c>
      <c r="Z22" s="137">
        <v>0</v>
      </c>
      <c r="AA22" s="135"/>
      <c r="AB22" s="209"/>
      <c r="AC22" s="220"/>
      <c r="AD22" s="158">
        <v>1</v>
      </c>
      <c r="AE22" s="165">
        <v>0.71408450704225346</v>
      </c>
      <c r="AF22" s="162"/>
      <c r="AG22" s="163" t="str">
        <f>"                                   " &amp; TEXT(AE22,"#0.00%") &amp; "/" &amp; TEXT(AD22,"#0.00% ") &amp; "" &amp; "분석" &amp; " " &amp; IF(P22="","",TEXT(P22,"M/D-")) &amp; IF(Q22="","",TEXT(Q22,"M/D")) &amp; " "</f>
        <v xml:space="preserve">                                   71.41%/100.00% 분석 9/19-10/28 </v>
      </c>
      <c r="AH22" s="163"/>
      <c r="AI22" s="163"/>
      <c r="AJ22" s="163"/>
      <c r="AK22" s="163"/>
    </row>
    <row r="23" spans="1:37" ht="12" customHeight="1" outlineLevel="4">
      <c r="A23" s="132"/>
      <c r="B23" s="132"/>
      <c r="C23" s="132">
        <v>5</v>
      </c>
      <c r="D23" s="159" t="s">
        <v>1948</v>
      </c>
      <c r="E23" s="133"/>
      <c r="F23" s="133"/>
      <c r="G23" s="133"/>
      <c r="H23" s="133"/>
      <c r="I23" s="133" t="s">
        <v>1828</v>
      </c>
      <c r="J23" s="133"/>
      <c r="K23" s="133"/>
      <c r="L23" s="133"/>
      <c r="M23" s="133"/>
      <c r="N23" s="133"/>
      <c r="O23" s="133"/>
      <c r="P23" s="134">
        <v>44823</v>
      </c>
      <c r="Q23" s="134">
        <v>44827</v>
      </c>
      <c r="R23" s="133"/>
      <c r="S23" s="135">
        <v>10</v>
      </c>
      <c r="T23" s="135">
        <v>10</v>
      </c>
      <c r="U23" s="135">
        <v>5</v>
      </c>
      <c r="V23" s="135">
        <v>5</v>
      </c>
      <c r="W23" s="134">
        <v>44823</v>
      </c>
      <c r="X23" s="134"/>
      <c r="Y23" s="136">
        <v>9</v>
      </c>
      <c r="Z23" s="137">
        <v>0</v>
      </c>
      <c r="AA23" s="135"/>
      <c r="AB23" s="209" t="s">
        <v>1902</v>
      </c>
      <c r="AC23" s="220"/>
      <c r="AD23" s="158">
        <v>1</v>
      </c>
      <c r="AE23" s="164">
        <v>0.9</v>
      </c>
      <c r="AF23" s="162" t="str">
        <f>"                                                 " &amp; TEXT(AE23,"#0.00%") &amp; "/" &amp; TEXT(AD23,"#0.00% ") &amp; "" &amp; "요구사항 분석" &amp; "(장매화, 안용성)" &amp; " " &amp; IF(P23="","",TEXT(P23,"M/D-")) &amp; IF(Q23="","",TEXT(Q23,"M/D")) &amp; " "</f>
        <v xml:space="preserve">                                                 90.00%/100.00% 요구사항 분석(장매화, 안용성) 9/19-9/23 </v>
      </c>
      <c r="AG23" s="163"/>
      <c r="AH23" s="163"/>
      <c r="AI23" s="163"/>
      <c r="AJ23" s="163"/>
      <c r="AK23" s="163"/>
    </row>
    <row r="24" spans="1:37" ht="12" customHeight="1" outlineLevel="4">
      <c r="A24" s="132"/>
      <c r="B24" s="132"/>
      <c r="C24" s="132">
        <v>5</v>
      </c>
      <c r="D24" s="159" t="s">
        <v>1949</v>
      </c>
      <c r="E24" s="133"/>
      <c r="F24" s="133"/>
      <c r="G24" s="133"/>
      <c r="H24" s="133"/>
      <c r="I24" s="133" t="s">
        <v>1829</v>
      </c>
      <c r="J24" s="133"/>
      <c r="K24" s="133"/>
      <c r="L24" s="133"/>
      <c r="M24" s="133"/>
      <c r="N24" s="133"/>
      <c r="O24" s="133"/>
      <c r="P24" s="134">
        <v>44823</v>
      </c>
      <c r="Q24" s="134">
        <v>44862</v>
      </c>
      <c r="R24" s="133"/>
      <c r="S24" s="135">
        <v>56</v>
      </c>
      <c r="T24" s="135">
        <v>56</v>
      </c>
      <c r="U24" s="135">
        <v>28</v>
      </c>
      <c r="V24" s="135">
        <v>28</v>
      </c>
      <c r="W24" s="134">
        <v>44823</v>
      </c>
      <c r="X24" s="134"/>
      <c r="Y24" s="136">
        <v>39.199999999999996</v>
      </c>
      <c r="Z24" s="137">
        <v>0</v>
      </c>
      <c r="AA24" s="135"/>
      <c r="AB24" s="209" t="s">
        <v>1903</v>
      </c>
      <c r="AC24" s="220"/>
      <c r="AD24" s="158">
        <v>1</v>
      </c>
      <c r="AE24" s="164">
        <v>0.7</v>
      </c>
      <c r="AF24" s="162"/>
      <c r="AG24" s="163" t="str">
        <f>"                                 " &amp; TEXT(AE24,"#0.00%") &amp; "/" &amp; TEXT(AD24,"#0.00% ") &amp; "" &amp; "패키지 Gap 분석" &amp; "(송빈, 안용성)" &amp; " " &amp; IF(P24="","",TEXT(P24,"M/D-")) &amp; IF(Q24="","",TEXT(Q24,"M/D")) &amp; " "</f>
        <v xml:space="preserve">                                 70.00%/100.00% 패키지 Gap 분석(송빈, 안용성) 9/19-10/28 </v>
      </c>
      <c r="AH24" s="163"/>
      <c r="AI24" s="163"/>
      <c r="AJ24" s="163"/>
      <c r="AK24" s="163"/>
    </row>
    <row r="25" spans="1:37" ht="12" customHeight="1" outlineLevel="4">
      <c r="A25" s="132"/>
      <c r="B25" s="132"/>
      <c r="C25" s="132">
        <v>5</v>
      </c>
      <c r="D25" s="159" t="s">
        <v>1950</v>
      </c>
      <c r="E25" s="133"/>
      <c r="F25" s="133"/>
      <c r="G25" s="133"/>
      <c r="H25" s="133"/>
      <c r="I25" s="133" t="s">
        <v>1830</v>
      </c>
      <c r="J25" s="133"/>
      <c r="K25" s="133"/>
      <c r="L25" s="133"/>
      <c r="M25" s="133"/>
      <c r="N25" s="133"/>
      <c r="O25" s="133"/>
      <c r="P25" s="134">
        <v>44823</v>
      </c>
      <c r="Q25" s="134">
        <v>44827</v>
      </c>
      <c r="R25" s="133"/>
      <c r="S25" s="135">
        <v>5</v>
      </c>
      <c r="T25" s="135">
        <v>5</v>
      </c>
      <c r="U25" s="135">
        <v>5</v>
      </c>
      <c r="V25" s="135">
        <v>5</v>
      </c>
      <c r="W25" s="134">
        <v>44823</v>
      </c>
      <c r="X25" s="134"/>
      <c r="Y25" s="136">
        <v>2.5</v>
      </c>
      <c r="Z25" s="137">
        <v>0</v>
      </c>
      <c r="AA25" s="135"/>
      <c r="AB25" s="209" t="s">
        <v>1883</v>
      </c>
      <c r="AC25" s="220"/>
      <c r="AD25" s="158">
        <v>1</v>
      </c>
      <c r="AE25" s="164">
        <v>0.5</v>
      </c>
      <c r="AF25" s="162" t="str">
        <f>"                                           " &amp; TEXT(AE25,"#0.00%") &amp; "/" &amp; TEXT(AD25,"#0.00% ") &amp; "" &amp; "시사점 및 설계 전략 도출" &amp; "(장매화)" &amp; " " &amp; IF(P25="","",TEXT(P25,"M/D-")) &amp; IF(Q25="","",TEXT(Q25,"M/D")) &amp; " "</f>
        <v xml:space="preserve">                                           50.00%/100.00% 시사점 및 설계 전략 도출(장매화) 9/19-9/23 </v>
      </c>
      <c r="AG25" s="163"/>
      <c r="AH25" s="163"/>
      <c r="AI25" s="163"/>
      <c r="AJ25" s="163"/>
      <c r="AK25" s="163"/>
    </row>
    <row r="26" spans="1:37" ht="12" customHeight="1" outlineLevel="3">
      <c r="A26" s="132"/>
      <c r="B26" s="132" t="s">
        <v>1363</v>
      </c>
      <c r="C26" s="132">
        <v>4</v>
      </c>
      <c r="D26" s="159" t="s">
        <v>1811</v>
      </c>
      <c r="E26" s="133"/>
      <c r="F26" s="133"/>
      <c r="G26" s="133"/>
      <c r="H26" s="133" t="s">
        <v>1449</v>
      </c>
      <c r="I26" s="133"/>
      <c r="J26" s="133"/>
      <c r="K26" s="133"/>
      <c r="L26" s="133"/>
      <c r="M26" s="133"/>
      <c r="N26" s="133"/>
      <c r="O26" s="133"/>
      <c r="P26" s="134">
        <v>44823</v>
      </c>
      <c r="Q26" s="134">
        <v>44869</v>
      </c>
      <c r="R26" s="133"/>
      <c r="S26" s="135">
        <v>83</v>
      </c>
      <c r="T26" s="135">
        <v>83</v>
      </c>
      <c r="U26" s="135">
        <v>33</v>
      </c>
      <c r="V26" s="135">
        <v>33</v>
      </c>
      <c r="W26" s="134">
        <v>44823</v>
      </c>
      <c r="X26" s="134"/>
      <c r="Y26" s="136">
        <v>46.8</v>
      </c>
      <c r="Z26" s="137">
        <v>0</v>
      </c>
      <c r="AA26" s="135"/>
      <c r="AB26" s="209"/>
      <c r="AC26" s="220"/>
      <c r="AD26" s="158">
        <v>1</v>
      </c>
      <c r="AE26" s="165">
        <v>0.56385542168674696</v>
      </c>
      <c r="AF26" s="162"/>
      <c r="AG26" s="163" t="str">
        <f>"                               " &amp; TEXT(AE26,"#0.00%") &amp; "/" &amp; TEXT(AD26,"#0.00% ") &amp; ""</f>
        <v xml:space="preserve">                               56.39%/100.00% </v>
      </c>
      <c r="AH26" s="163" t="str">
        <f>"         " &amp; "설계" &amp; " " &amp; IF(P26="","",TEXT(P26,"M/D-")) &amp; IF(Q26="","",TEXT(Q26,"M/D")) &amp; " "</f>
        <v xml:space="preserve">         설계 9/19-11/4 </v>
      </c>
      <c r="AI26" s="163"/>
      <c r="AJ26" s="163"/>
      <c r="AK26" s="163"/>
    </row>
    <row r="27" spans="1:37" ht="12" customHeight="1" outlineLevel="4">
      <c r="A27" s="132"/>
      <c r="B27" s="132"/>
      <c r="C27" s="132">
        <v>5</v>
      </c>
      <c r="D27" s="159" t="s">
        <v>1951</v>
      </c>
      <c r="E27" s="133"/>
      <c r="F27" s="133"/>
      <c r="G27" s="133"/>
      <c r="H27" s="133"/>
      <c r="I27" s="133" t="s">
        <v>1831</v>
      </c>
      <c r="J27" s="133"/>
      <c r="K27" s="133"/>
      <c r="L27" s="133"/>
      <c r="M27" s="133"/>
      <c r="N27" s="133"/>
      <c r="O27" s="133"/>
      <c r="P27" s="134">
        <v>44823</v>
      </c>
      <c r="Q27" s="134">
        <v>44834</v>
      </c>
      <c r="R27" s="133"/>
      <c r="S27" s="135">
        <v>10</v>
      </c>
      <c r="T27" s="135">
        <v>10</v>
      </c>
      <c r="U27" s="135">
        <v>10</v>
      </c>
      <c r="V27" s="135">
        <v>10</v>
      </c>
      <c r="W27" s="134">
        <v>44823</v>
      </c>
      <c r="X27" s="134"/>
      <c r="Y27" s="136">
        <v>0</v>
      </c>
      <c r="Z27" s="137">
        <v>0</v>
      </c>
      <c r="AA27" s="135"/>
      <c r="AB27" s="209"/>
      <c r="AC27" s="220"/>
      <c r="AD27" s="158">
        <v>1</v>
      </c>
      <c r="AE27" s="164">
        <v>0</v>
      </c>
      <c r="AF27" s="162" t="str">
        <f>"                                      " &amp; TEXT(AE27,"#0.00%") &amp; "/" &amp; TEXT(AD27,"#0.00% ") &amp; "" &amp; "기준정보 설계" &amp; " " &amp; IF(P27="","",TEXT(P27,"M/D-")) &amp; IF(Q27="","",TEXT(Q27,"M/D")) &amp; " "</f>
        <v xml:space="preserve">                                      0.00%/100.00% 기준정보 설계 9/19-9/30 </v>
      </c>
      <c r="AG27" s="163"/>
      <c r="AH27" s="163"/>
      <c r="AI27" s="163"/>
      <c r="AJ27" s="163"/>
      <c r="AK27" s="163"/>
    </row>
    <row r="28" spans="1:37" ht="12" customHeight="1" outlineLevel="4">
      <c r="A28" s="132"/>
      <c r="B28" s="132"/>
      <c r="C28" s="132">
        <v>5</v>
      </c>
      <c r="D28" s="159" t="s">
        <v>1952</v>
      </c>
      <c r="E28" s="133"/>
      <c r="F28" s="133"/>
      <c r="G28" s="133"/>
      <c r="H28" s="133"/>
      <c r="I28" s="133" t="s">
        <v>1832</v>
      </c>
      <c r="J28" s="133"/>
      <c r="K28" s="133"/>
      <c r="L28" s="133"/>
      <c r="M28" s="133"/>
      <c r="N28" s="133"/>
      <c r="O28" s="133"/>
      <c r="P28" s="134">
        <v>44823</v>
      </c>
      <c r="Q28" s="134">
        <v>44834</v>
      </c>
      <c r="R28" s="133"/>
      <c r="S28" s="135">
        <v>10</v>
      </c>
      <c r="T28" s="135">
        <v>10</v>
      </c>
      <c r="U28" s="135">
        <v>10</v>
      </c>
      <c r="V28" s="135">
        <v>10</v>
      </c>
      <c r="W28" s="134">
        <v>44823</v>
      </c>
      <c r="X28" s="134"/>
      <c r="Y28" s="136">
        <v>0</v>
      </c>
      <c r="Z28" s="137">
        <v>0</v>
      </c>
      <c r="AA28" s="135"/>
      <c r="AB28" s="209" t="s">
        <v>1905</v>
      </c>
      <c r="AC28" s="220"/>
      <c r="AD28" s="158">
        <v>1</v>
      </c>
      <c r="AE28" s="164">
        <v>0</v>
      </c>
      <c r="AF28" s="162" t="str">
        <f>"                                      " &amp; TEXT(AE28,"#0.00%") &amp; "/" &amp; TEXT(AD28,"#0.00% ") &amp; "" &amp; "업무 프로세스 설계" &amp; "(화면설계서)" &amp; " " &amp; IF(P28="","",TEXT(P28,"M/D-")) &amp; IF(Q28="","",TEXT(Q28,"M/D")) &amp; " "</f>
        <v xml:space="preserve">                                      0.00%/100.00% 업무 프로세스 설계(화면설계서) 9/19-9/30 </v>
      </c>
      <c r="AG28" s="163"/>
      <c r="AH28" s="163"/>
      <c r="AI28" s="163"/>
      <c r="AJ28" s="163"/>
      <c r="AK28" s="163"/>
    </row>
    <row r="29" spans="1:37" ht="12" customHeight="1" outlineLevel="4">
      <c r="A29" s="132"/>
      <c r="B29" s="132"/>
      <c r="C29" s="132">
        <v>5</v>
      </c>
      <c r="D29" s="159" t="s">
        <v>1953</v>
      </c>
      <c r="E29" s="133"/>
      <c r="F29" s="133"/>
      <c r="G29" s="133"/>
      <c r="H29" s="133"/>
      <c r="I29" s="133" t="s">
        <v>1833</v>
      </c>
      <c r="J29" s="133"/>
      <c r="K29" s="133"/>
      <c r="L29" s="133"/>
      <c r="M29" s="133"/>
      <c r="N29" s="133"/>
      <c r="O29" s="133"/>
      <c r="P29" s="134">
        <v>44823</v>
      </c>
      <c r="Q29" s="134">
        <v>44834</v>
      </c>
      <c r="R29" s="133"/>
      <c r="S29" s="135">
        <v>10</v>
      </c>
      <c r="T29" s="135">
        <v>10</v>
      </c>
      <c r="U29" s="135">
        <v>10</v>
      </c>
      <c r="V29" s="135">
        <v>10</v>
      </c>
      <c r="W29" s="134">
        <v>44823</v>
      </c>
      <c r="X29" s="134">
        <v>44834</v>
      </c>
      <c r="Y29" s="136">
        <v>10</v>
      </c>
      <c r="Z29" s="137">
        <v>10</v>
      </c>
      <c r="AA29" s="135"/>
      <c r="AB29" s="209"/>
      <c r="AC29" s="220"/>
      <c r="AD29" s="158">
        <v>1</v>
      </c>
      <c r="AE29" s="166">
        <v>1</v>
      </c>
      <c r="AF29" s="162"/>
      <c r="AG29" s="163" t="str">
        <f>"" &amp; TEXT(AE29,"#0.00%") &amp; "/" &amp; TEXT(AD29,"#0.00% ") &amp; "" &amp; "요건 및 구현방안 도출" &amp; " " &amp; IF(P29="","",TEXT(P29,"M/D-")) &amp; IF(Q29="","",TEXT(Q29,"M/D")) &amp; " "</f>
        <v xml:space="preserve">100.00%/100.00% 요건 및 구현방안 도출 9/19-9/30 </v>
      </c>
      <c r="AH29" s="163"/>
      <c r="AI29" s="163"/>
      <c r="AJ29" s="163"/>
      <c r="AK29" s="163"/>
    </row>
    <row r="30" spans="1:37" ht="12" customHeight="1" outlineLevel="4">
      <c r="A30" s="132"/>
      <c r="B30" s="132"/>
      <c r="C30" s="132">
        <v>5</v>
      </c>
      <c r="D30" s="159" t="s">
        <v>1954</v>
      </c>
      <c r="E30" s="133"/>
      <c r="F30" s="133"/>
      <c r="G30" s="133"/>
      <c r="H30" s="133"/>
      <c r="I30" s="133" t="s">
        <v>1834</v>
      </c>
      <c r="J30" s="133"/>
      <c r="K30" s="133"/>
      <c r="L30" s="133"/>
      <c r="M30" s="133"/>
      <c r="N30" s="133"/>
      <c r="O30" s="133"/>
      <c r="P30" s="134">
        <v>44823</v>
      </c>
      <c r="Q30" s="134">
        <v>44834</v>
      </c>
      <c r="R30" s="133"/>
      <c r="S30" s="135">
        <v>10</v>
      </c>
      <c r="T30" s="135">
        <v>10</v>
      </c>
      <c r="U30" s="135">
        <v>10</v>
      </c>
      <c r="V30" s="135">
        <v>10</v>
      </c>
      <c r="W30" s="134">
        <v>44823</v>
      </c>
      <c r="X30" s="134">
        <v>44834</v>
      </c>
      <c r="Y30" s="136">
        <v>10</v>
      </c>
      <c r="Z30" s="137">
        <v>10</v>
      </c>
      <c r="AA30" s="135"/>
      <c r="AB30" s="209"/>
      <c r="AC30" s="220"/>
      <c r="AD30" s="158">
        <v>1</v>
      </c>
      <c r="AE30" s="166">
        <v>1</v>
      </c>
      <c r="AF30" s="162"/>
      <c r="AG30" s="163" t="str">
        <f>"" &amp; TEXT(AE30,"#0.00%") &amp; "/" &amp; TEXT(AD30,"#0.00% ") &amp; "" &amp; "커스텀 기능 구성 설계" &amp; " " &amp; IF(P30="","",TEXT(P30,"M/D-")) &amp; IF(Q30="","",TEXT(Q30,"M/D")) &amp; " "</f>
        <v xml:space="preserve">100.00%/100.00% 커스텀 기능 구성 설계 9/19-9/30 </v>
      </c>
      <c r="AH30" s="163"/>
      <c r="AI30" s="163"/>
      <c r="AJ30" s="163"/>
      <c r="AK30" s="163"/>
    </row>
    <row r="31" spans="1:37" ht="12" customHeight="1" outlineLevel="4">
      <c r="A31" s="132"/>
      <c r="B31" s="132"/>
      <c r="C31" s="132">
        <v>5</v>
      </c>
      <c r="D31" s="159" t="s">
        <v>1955</v>
      </c>
      <c r="E31" s="133"/>
      <c r="F31" s="133"/>
      <c r="G31" s="133"/>
      <c r="H31" s="133"/>
      <c r="I31" s="133" t="s">
        <v>1835</v>
      </c>
      <c r="J31" s="133"/>
      <c r="K31" s="133"/>
      <c r="L31" s="133"/>
      <c r="M31" s="133"/>
      <c r="N31" s="133"/>
      <c r="O31" s="133"/>
      <c r="P31" s="134">
        <v>44823</v>
      </c>
      <c r="Q31" s="134">
        <v>44834</v>
      </c>
      <c r="R31" s="133"/>
      <c r="S31" s="135">
        <v>10</v>
      </c>
      <c r="T31" s="135">
        <v>10</v>
      </c>
      <c r="U31" s="135">
        <v>10</v>
      </c>
      <c r="V31" s="135">
        <v>10</v>
      </c>
      <c r="W31" s="134">
        <v>44823</v>
      </c>
      <c r="X31" s="134"/>
      <c r="Y31" s="136">
        <v>7</v>
      </c>
      <c r="Z31" s="137">
        <v>0</v>
      </c>
      <c r="AA31" s="135"/>
      <c r="AB31" s="209"/>
      <c r="AC31" s="220"/>
      <c r="AD31" s="158">
        <v>1</v>
      </c>
      <c r="AE31" s="164">
        <v>0.7</v>
      </c>
      <c r="AF31" s="162" t="str">
        <f>"                                                       " &amp; TEXT(AE31,"#0.00%") &amp; "/" &amp; TEXT(AD31,"#0.00% ") &amp; "" &amp; "신규/커스텀 기능 프로그램" &amp; " " &amp; IF(P31="","",TEXT(P31,"M/D-")) &amp; IF(Q31="","",TEXT(Q31,"M/D")) &amp; " "</f>
        <v xml:space="preserve">                                                       70.00%/100.00% 신규/커스텀 기능 프로그램 9/19-9/30 </v>
      </c>
      <c r="AG31" s="163"/>
      <c r="AH31" s="163"/>
      <c r="AI31" s="163"/>
      <c r="AJ31" s="163"/>
      <c r="AK31" s="163"/>
    </row>
    <row r="32" spans="1:37" ht="12" customHeight="1" outlineLevel="4">
      <c r="A32" s="132"/>
      <c r="B32" s="132"/>
      <c r="C32" s="132">
        <v>5</v>
      </c>
      <c r="D32" s="159" t="s">
        <v>1956</v>
      </c>
      <c r="E32" s="133"/>
      <c r="F32" s="133"/>
      <c r="G32" s="133"/>
      <c r="H32" s="133"/>
      <c r="I32" s="133" t="s">
        <v>1836</v>
      </c>
      <c r="J32" s="133"/>
      <c r="K32" s="133"/>
      <c r="L32" s="133"/>
      <c r="M32" s="133"/>
      <c r="N32" s="133"/>
      <c r="O32" s="133"/>
      <c r="P32" s="134">
        <v>44823</v>
      </c>
      <c r="Q32" s="134">
        <v>44869</v>
      </c>
      <c r="R32" s="133"/>
      <c r="S32" s="135">
        <v>33</v>
      </c>
      <c r="T32" s="135">
        <v>33</v>
      </c>
      <c r="U32" s="135">
        <v>33</v>
      </c>
      <c r="V32" s="135">
        <v>33</v>
      </c>
      <c r="W32" s="134">
        <v>44823</v>
      </c>
      <c r="X32" s="134"/>
      <c r="Y32" s="136">
        <v>19.8</v>
      </c>
      <c r="Z32" s="137">
        <v>0</v>
      </c>
      <c r="AA32" s="135"/>
      <c r="AB32" s="209"/>
      <c r="AC32" s="220"/>
      <c r="AD32" s="158">
        <v>1</v>
      </c>
      <c r="AE32" s="164">
        <v>0.6</v>
      </c>
      <c r="AF32" s="162"/>
      <c r="AG32" s="163" t="str">
        <f>"                                 " &amp; TEXT(AE32,"#0.00%") &amp; "/" &amp; TEXT(AD32,"#0.00% ") &amp; "" &amp; "인터페이스 설계" &amp; " " &amp; IF(P32="","",TEXT(P32,"M/D-")) &amp; IF(Q32="","",TEXT(Q32,"M/D")) &amp; " "</f>
        <v xml:space="preserve">                                 60.00%/100.00% 인터페이스 설계 9/19-11/4 </v>
      </c>
      <c r="AH32" s="163"/>
      <c r="AI32" s="163"/>
      <c r="AJ32" s="163"/>
      <c r="AK32" s="163"/>
    </row>
    <row r="33" spans="1:37" ht="12" customHeight="1" outlineLevel="3">
      <c r="A33" s="132"/>
      <c r="B33" s="132" t="s">
        <v>1363</v>
      </c>
      <c r="C33" s="132">
        <v>4</v>
      </c>
      <c r="D33" s="159" t="s">
        <v>1812</v>
      </c>
      <c r="E33" s="133"/>
      <c r="F33" s="133"/>
      <c r="G33" s="133"/>
      <c r="H33" s="133" t="s">
        <v>1837</v>
      </c>
      <c r="I33" s="133"/>
      <c r="J33" s="133"/>
      <c r="K33" s="133"/>
      <c r="L33" s="133"/>
      <c r="M33" s="133"/>
      <c r="N33" s="133"/>
      <c r="O33" s="133"/>
      <c r="P33" s="134">
        <v>44823</v>
      </c>
      <c r="Q33" s="134">
        <v>44925</v>
      </c>
      <c r="R33" s="133"/>
      <c r="S33" s="135">
        <v>549</v>
      </c>
      <c r="T33" s="135">
        <v>268</v>
      </c>
      <c r="U33" s="135">
        <v>73</v>
      </c>
      <c r="V33" s="135">
        <v>34</v>
      </c>
      <c r="W33" s="134">
        <v>44823</v>
      </c>
      <c r="X33" s="134"/>
      <c r="Y33" s="136">
        <v>170.5</v>
      </c>
      <c r="Z33" s="137">
        <v>0</v>
      </c>
      <c r="AA33" s="135"/>
      <c r="AB33" s="209"/>
      <c r="AC33" s="220"/>
      <c r="AD33" s="158">
        <v>0.48816029143897999</v>
      </c>
      <c r="AE33" s="165">
        <v>0.31056466302367941</v>
      </c>
      <c r="AF33" s="162"/>
      <c r="AG33" s="163" t="str">
        <f>"                                         " &amp; TEXT(AE33,"#0.00%") &amp; "/" &amp; TEXT(AD33,"#0.00% ") &amp; ""</f>
        <v xml:space="preserve">                                         31.06%/48.82% </v>
      </c>
      <c r="AH33" s="163"/>
      <c r="AI33" s="163" t="str">
        <f>"                                                              " &amp; "구현" &amp; " " &amp; IF(P33="","",TEXT(P33,"M/D-")) &amp; IF(Q33="","",TEXT(Q33,"M/D")) &amp; " "</f>
        <v xml:space="preserve">                                                              구현 9/19-12/30 </v>
      </c>
      <c r="AJ33" s="163"/>
      <c r="AK33" s="163"/>
    </row>
    <row r="34" spans="1:37" ht="12" customHeight="1" outlineLevel="4">
      <c r="A34" s="132"/>
      <c r="B34" s="132" t="s">
        <v>1363</v>
      </c>
      <c r="C34" s="132">
        <v>5</v>
      </c>
      <c r="D34" s="159" t="s">
        <v>1957</v>
      </c>
      <c r="E34" s="133"/>
      <c r="F34" s="133"/>
      <c r="G34" s="133"/>
      <c r="H34" s="133"/>
      <c r="I34" s="133" t="s">
        <v>1838</v>
      </c>
      <c r="J34" s="133"/>
      <c r="K34" s="133"/>
      <c r="L34" s="133"/>
      <c r="M34" s="133"/>
      <c r="N34" s="133"/>
      <c r="O34" s="133"/>
      <c r="P34" s="134">
        <v>44823</v>
      </c>
      <c r="Q34" s="134">
        <v>44911</v>
      </c>
      <c r="R34" s="133"/>
      <c r="S34" s="135">
        <v>494</v>
      </c>
      <c r="T34" s="135">
        <v>268</v>
      </c>
      <c r="U34" s="135">
        <v>63</v>
      </c>
      <c r="V34" s="135">
        <v>34</v>
      </c>
      <c r="W34" s="134">
        <v>44823</v>
      </c>
      <c r="X34" s="134"/>
      <c r="Y34" s="136">
        <v>170.5</v>
      </c>
      <c r="Z34" s="137">
        <v>0</v>
      </c>
      <c r="AA34" s="135"/>
      <c r="AB34" s="209"/>
      <c r="AC34" s="220"/>
      <c r="AD34" s="158">
        <v>0.54251012145748989</v>
      </c>
      <c r="AE34" s="165">
        <v>0.34514170040485831</v>
      </c>
      <c r="AF34" s="162"/>
      <c r="AG34" s="163" t="str">
        <f>"                                       " &amp; TEXT(AE34,"#0.00%") &amp; "/" &amp; TEXT(AD34,"#0.00% ") &amp; ""</f>
        <v xml:space="preserve">                                       34.51%/54.25% </v>
      </c>
      <c r="AH34" s="163"/>
      <c r="AI34" s="163" t="str">
        <f>"                                 " &amp; "메뉴별 기능" &amp; " " &amp; IF(P34="","",TEXT(P34,"M/D-")) &amp; IF(Q34="","",TEXT(Q34,"M/D")) &amp; " "</f>
        <v xml:space="preserve">                                 메뉴별 기능 9/19-12/16 </v>
      </c>
      <c r="AJ34" s="163"/>
      <c r="AK34" s="163"/>
    </row>
    <row r="35" spans="1:37" ht="12" customHeight="1" outlineLevel="5">
      <c r="A35" s="132"/>
      <c r="B35" s="132" t="s">
        <v>1363</v>
      </c>
      <c r="C35" s="132">
        <v>6</v>
      </c>
      <c r="D35" s="159" t="s">
        <v>1958</v>
      </c>
      <c r="E35" s="133"/>
      <c r="F35" s="133"/>
      <c r="G35" s="133"/>
      <c r="H35" s="133"/>
      <c r="I35" s="133"/>
      <c r="J35" s="133" t="s">
        <v>1528</v>
      </c>
      <c r="K35" s="133"/>
      <c r="L35" s="133"/>
      <c r="M35" s="133"/>
      <c r="N35" s="133"/>
      <c r="O35" s="133"/>
      <c r="P35" s="134">
        <v>44823</v>
      </c>
      <c r="Q35" s="134">
        <v>44897</v>
      </c>
      <c r="R35" s="133"/>
      <c r="S35" s="135">
        <v>110</v>
      </c>
      <c r="T35" s="135">
        <v>77</v>
      </c>
      <c r="U35" s="135">
        <v>53</v>
      </c>
      <c r="V35" s="135">
        <v>34</v>
      </c>
      <c r="W35" s="134">
        <v>44823</v>
      </c>
      <c r="X35" s="134"/>
      <c r="Y35" s="136">
        <v>47.4</v>
      </c>
      <c r="Z35" s="137">
        <v>0</v>
      </c>
      <c r="AA35" s="135"/>
      <c r="AB35" s="209"/>
      <c r="AC35" s="220"/>
      <c r="AD35" s="158">
        <v>0.7</v>
      </c>
      <c r="AE35" s="165">
        <v>0.43090909090909091</v>
      </c>
      <c r="AF35" s="162"/>
      <c r="AG35" s="163" t="str">
        <f>"                                         " &amp; TEXT(AE35,"#0.00%") &amp; "/" &amp; TEXT(AD35,"#0.00% ") &amp; ""</f>
        <v xml:space="preserve">                                         43.09%/70.00% </v>
      </c>
      <c r="AH35" s="163"/>
      <c r="AI35" s="163" t="str">
        <f>"    " &amp; "공통" &amp; " " &amp; IF(P35="","",TEXT(P35,"M/D-")) &amp; IF(Q35="","",TEXT(Q35,"M/D")) &amp; " "</f>
        <v xml:space="preserve">    공통 9/19-12/2 </v>
      </c>
      <c r="AJ35" s="163"/>
      <c r="AK35" s="163"/>
    </row>
    <row r="36" spans="1:37" ht="12" customHeight="1" outlineLevel="6">
      <c r="A36" s="132"/>
      <c r="B36" s="132"/>
      <c r="C36" s="132">
        <v>7</v>
      </c>
      <c r="D36" s="159" t="s">
        <v>1959</v>
      </c>
      <c r="E36" s="133"/>
      <c r="F36" s="133"/>
      <c r="G36" s="133"/>
      <c r="H36" s="133"/>
      <c r="I36" s="133"/>
      <c r="J36" s="133"/>
      <c r="K36" s="133" t="s">
        <v>1839</v>
      </c>
      <c r="L36" s="133"/>
      <c r="M36" s="133"/>
      <c r="N36" s="133"/>
      <c r="O36" s="133"/>
      <c r="P36" s="134">
        <v>44823</v>
      </c>
      <c r="Q36" s="134">
        <v>44827</v>
      </c>
      <c r="R36" s="133"/>
      <c r="S36" s="135">
        <v>15</v>
      </c>
      <c r="T36" s="135">
        <v>15</v>
      </c>
      <c r="U36" s="135">
        <v>5</v>
      </c>
      <c r="V36" s="135">
        <v>5</v>
      </c>
      <c r="W36" s="134">
        <v>44823</v>
      </c>
      <c r="X36" s="134">
        <v>44827</v>
      </c>
      <c r="Y36" s="136">
        <v>15</v>
      </c>
      <c r="Z36" s="137">
        <v>5</v>
      </c>
      <c r="AA36" s="135"/>
      <c r="AB36" s="209" t="s">
        <v>1908</v>
      </c>
      <c r="AC36" s="220"/>
      <c r="AD36" s="158">
        <v>1</v>
      </c>
      <c r="AE36" s="166">
        <v>1</v>
      </c>
      <c r="AF36" s="162" t="str">
        <f>"                                                 " &amp; TEXT(AE36,"#0.00%") &amp; "/" &amp; TEXT(AD36,"#0.00% ") &amp; "" &amp; "Microsoft Anzure 기반 개발 환경 구축" &amp; "(송빈,안용성,컴즈)" &amp; " " &amp; IF(P36="","",TEXT(P36,"M/D-")) &amp; IF(Q36="","",TEXT(Q36,"M/D")) &amp; " "</f>
        <v xml:space="preserve">                                                 100.00%/100.00% Microsoft Anzure 기반 개발 환경 구축(송빈,안용성,컴즈) 9/19-9/23 </v>
      </c>
      <c r="AG36" s="163"/>
      <c r="AH36" s="163"/>
      <c r="AI36" s="163"/>
      <c r="AJ36" s="163"/>
      <c r="AK36" s="163"/>
    </row>
    <row r="37" spans="1:37" ht="12" customHeight="1" outlineLevel="6">
      <c r="A37" s="132"/>
      <c r="B37" s="132"/>
      <c r="C37" s="132">
        <v>7</v>
      </c>
      <c r="D37" s="159" t="s">
        <v>1960</v>
      </c>
      <c r="E37" s="133"/>
      <c r="F37" s="133"/>
      <c r="G37" s="133"/>
      <c r="H37" s="133"/>
      <c r="I37" s="133"/>
      <c r="J37" s="133"/>
      <c r="K37" s="133" t="s">
        <v>1840</v>
      </c>
      <c r="L37" s="133"/>
      <c r="M37" s="133"/>
      <c r="N37" s="133"/>
      <c r="O37" s="133"/>
      <c r="P37" s="134">
        <v>44823</v>
      </c>
      <c r="Q37" s="134">
        <v>44897</v>
      </c>
      <c r="R37" s="133"/>
      <c r="S37" s="135">
        <v>53</v>
      </c>
      <c r="T37" s="135">
        <v>34</v>
      </c>
      <c r="U37" s="135">
        <v>53</v>
      </c>
      <c r="V37" s="135">
        <v>34</v>
      </c>
      <c r="W37" s="134">
        <v>44823</v>
      </c>
      <c r="X37" s="134"/>
      <c r="Y37" s="136">
        <v>5.3000000000000007</v>
      </c>
      <c r="Z37" s="137">
        <v>0</v>
      </c>
      <c r="AA37" s="135"/>
      <c r="AB37" s="209" t="s">
        <v>1909</v>
      </c>
      <c r="AC37" s="220"/>
      <c r="AD37" s="158">
        <v>0.64150943396226412</v>
      </c>
      <c r="AE37" s="164">
        <v>0.1</v>
      </c>
      <c r="AF37" s="162" t="str">
        <f>"                                                       " &amp; TEXT(AE37,"#0.00%") &amp; "/" &amp; TEXT(AD37,"#0.00% ") &amp; ""</f>
        <v xml:space="preserve">                                                       10.00%/64.15% </v>
      </c>
      <c r="AG37" s="163"/>
      <c r="AH37" s="163"/>
      <c r="AI37" s="163" t="str">
        <f>"    " &amp; "From Oracle11g  to PostgreSQL 변환" &amp; "(김무량)" &amp; " " &amp; IF(P37="","",TEXT(P37,"M/D-")) &amp; IF(Q37="","",TEXT(Q37,"M/D")) &amp; " "</f>
        <v xml:space="preserve">    From Oracle11g  to PostgreSQL 변환(김무량) 9/19-12/2 </v>
      </c>
      <c r="AJ37" s="163"/>
      <c r="AK37" s="163"/>
    </row>
    <row r="38" spans="1:37" ht="12" customHeight="1" outlineLevel="6">
      <c r="A38" s="132"/>
      <c r="B38" s="132"/>
      <c r="C38" s="132">
        <v>7</v>
      </c>
      <c r="D38" s="159" t="s">
        <v>1961</v>
      </c>
      <c r="E38" s="133"/>
      <c r="F38" s="133"/>
      <c r="G38" s="133"/>
      <c r="H38" s="133"/>
      <c r="I38" s="133"/>
      <c r="J38" s="133"/>
      <c r="K38" s="133" t="s">
        <v>1841</v>
      </c>
      <c r="L38" s="133"/>
      <c r="M38" s="133"/>
      <c r="N38" s="133"/>
      <c r="O38" s="133"/>
      <c r="P38" s="134">
        <v>44837</v>
      </c>
      <c r="Q38" s="134">
        <v>44841</v>
      </c>
      <c r="R38" s="133"/>
      <c r="S38" s="135">
        <v>4</v>
      </c>
      <c r="T38" s="135">
        <v>4</v>
      </c>
      <c r="U38" s="135">
        <v>4</v>
      </c>
      <c r="V38" s="135">
        <v>4</v>
      </c>
      <c r="W38" s="134">
        <v>44837</v>
      </c>
      <c r="X38" s="134">
        <v>44841</v>
      </c>
      <c r="Y38" s="136">
        <v>4</v>
      </c>
      <c r="Z38" s="137">
        <v>4</v>
      </c>
      <c r="AA38" s="135"/>
      <c r="AB38" s="209" t="s">
        <v>1910</v>
      </c>
      <c r="AC38" s="220"/>
      <c r="AD38" s="158">
        <v>1</v>
      </c>
      <c r="AE38" s="166">
        <v>1</v>
      </c>
      <c r="AF38" s="162"/>
      <c r="AG38" s="163" t="str">
        <f>"              " &amp; TEXT(AE38,"#0.00%") &amp; "/" &amp; TEXT(AD38,"#0.00% ") &amp; "" &amp; "웹에디터 연동 (결재,게시판 등)" &amp; "(송빈)" &amp; " " &amp; IF(P38="","",TEXT(P38,"M/D-")) &amp; IF(Q38="","",TEXT(Q38,"M/D")) &amp; " "</f>
        <v xml:space="preserve">              100.00%/100.00% 웹에디터 연동 (결재,게시판 등)(송빈) 10/3-10/7 </v>
      </c>
      <c r="AH38" s="163"/>
      <c r="AI38" s="163"/>
      <c r="AJ38" s="163"/>
      <c r="AK38" s="163"/>
    </row>
    <row r="39" spans="1:37" ht="12" customHeight="1" outlineLevel="6">
      <c r="A39" s="132"/>
      <c r="B39" s="132"/>
      <c r="C39" s="132">
        <v>7</v>
      </c>
      <c r="D39" s="159" t="s">
        <v>1962</v>
      </c>
      <c r="E39" s="133"/>
      <c r="F39" s="133"/>
      <c r="G39" s="133"/>
      <c r="H39" s="133"/>
      <c r="I39" s="133"/>
      <c r="J39" s="133"/>
      <c r="K39" s="133" t="s">
        <v>1906</v>
      </c>
      <c r="L39" s="133"/>
      <c r="M39" s="133"/>
      <c r="N39" s="133"/>
      <c r="O39" s="133"/>
      <c r="P39" s="134">
        <v>44837</v>
      </c>
      <c r="Q39" s="134">
        <v>44883</v>
      </c>
      <c r="R39" s="133"/>
      <c r="S39" s="135">
        <v>33</v>
      </c>
      <c r="T39" s="135">
        <v>24</v>
      </c>
      <c r="U39" s="135">
        <v>33</v>
      </c>
      <c r="V39" s="135">
        <v>24</v>
      </c>
      <c r="W39" s="134">
        <v>44837</v>
      </c>
      <c r="X39" s="134"/>
      <c r="Y39" s="136">
        <v>23.099999999999998</v>
      </c>
      <c r="Z39" s="137">
        <v>0</v>
      </c>
      <c r="AA39" s="135"/>
      <c r="AB39" s="209" t="s">
        <v>1911</v>
      </c>
      <c r="AC39" s="220"/>
      <c r="AD39" s="158">
        <v>0.72727272727272729</v>
      </c>
      <c r="AE39" s="164">
        <v>0.7</v>
      </c>
      <c r="AF39" s="162"/>
      <c r="AG39" s="163"/>
      <c r="AH39" s="163" t="str">
        <f>"         " &amp; TEXT(AE39,"#0.00%") &amp; "/" &amp; TEXT(AD39,"#0.00% ") &amp; "" &amp; "권한별 포털 화면 디자인 및 퍼블(모바일포함) 1차" &amp; "(이정아)" &amp; " " &amp; IF(P39="","",TEXT(P39,"M/D-")) &amp; IF(Q39="","",TEXT(Q39,"M/D")) &amp; " "</f>
        <v xml:space="preserve">         70.00%/72.73% 권한별 포털 화면 디자인 및 퍼블(모바일포함) 1차(이정아) 10/3-11/18 </v>
      </c>
      <c r="AI39" s="163"/>
      <c r="AJ39" s="163"/>
      <c r="AK39" s="163"/>
    </row>
    <row r="40" spans="1:37" ht="12" customHeight="1" outlineLevel="6">
      <c r="A40" s="132"/>
      <c r="B40" s="132"/>
      <c r="C40" s="132">
        <v>7</v>
      </c>
      <c r="D40" s="159" t="s">
        <v>1963</v>
      </c>
      <c r="E40" s="133"/>
      <c r="F40" s="133"/>
      <c r="G40" s="133"/>
      <c r="H40" s="133"/>
      <c r="I40" s="133"/>
      <c r="J40" s="133"/>
      <c r="K40" s="133" t="s">
        <v>1907</v>
      </c>
      <c r="L40" s="133"/>
      <c r="M40" s="133"/>
      <c r="N40" s="133"/>
      <c r="O40" s="133"/>
      <c r="P40" s="134">
        <v>44893</v>
      </c>
      <c r="Q40" s="134">
        <v>44897</v>
      </c>
      <c r="R40" s="133"/>
      <c r="S40" s="135">
        <v>5</v>
      </c>
      <c r="T40" s="135">
        <v>0</v>
      </c>
      <c r="U40" s="135">
        <v>5</v>
      </c>
      <c r="V40" s="135">
        <v>0</v>
      </c>
      <c r="W40" s="134"/>
      <c r="X40" s="134"/>
      <c r="Y40" s="136">
        <v>0</v>
      </c>
      <c r="Z40" s="137">
        <v>0</v>
      </c>
      <c r="AA40" s="135"/>
      <c r="AB40" s="209" t="s">
        <v>1911</v>
      </c>
      <c r="AC40" s="220"/>
      <c r="AD40" s="158">
        <v>0</v>
      </c>
      <c r="AE40" s="166">
        <v>0</v>
      </c>
      <c r="AF40" s="162"/>
      <c r="AG40" s="163"/>
      <c r="AH40" s="163" t="str">
        <f>"                                                          " &amp; TEXT(AE40,"#0.00%") &amp; "/" &amp; TEXT(AD40,"#0.00% ") &amp; "" &amp; "권한별 포털 화면 디자인 및 퍼블(모바일포함) 2차" &amp; "(이정아)" &amp; " " &amp; IF(P40="","",TEXT(P40,"M/D-")) &amp; IF(Q40="","",TEXT(Q40,"M/D")) &amp; " "</f>
        <v xml:space="preserve">                                                          0.00%/0.00% 권한별 포털 화면 디자인 및 퍼블(모바일포함) 2차(이정아) 11/28-12/2 </v>
      </c>
      <c r="AI40" s="163"/>
      <c r="AJ40" s="163"/>
      <c r="AK40" s="163"/>
    </row>
    <row r="41" spans="1:37" ht="12" customHeight="1" outlineLevel="5">
      <c r="A41" s="132"/>
      <c r="B41" s="132" t="s">
        <v>1363</v>
      </c>
      <c r="C41" s="132">
        <v>6</v>
      </c>
      <c r="D41" s="159" t="s">
        <v>1964</v>
      </c>
      <c r="E41" s="133"/>
      <c r="F41" s="133"/>
      <c r="G41" s="133"/>
      <c r="H41" s="133"/>
      <c r="I41" s="133"/>
      <c r="J41" s="133" t="s">
        <v>1842</v>
      </c>
      <c r="K41" s="133"/>
      <c r="L41" s="133"/>
      <c r="M41" s="133"/>
      <c r="N41" s="133"/>
      <c r="O41" s="133"/>
      <c r="P41" s="134">
        <v>44844</v>
      </c>
      <c r="Q41" s="134">
        <v>44904</v>
      </c>
      <c r="R41" s="133"/>
      <c r="S41" s="135">
        <v>74</v>
      </c>
      <c r="T41" s="135">
        <v>38</v>
      </c>
      <c r="U41" s="135">
        <v>44</v>
      </c>
      <c r="V41" s="135">
        <v>20</v>
      </c>
      <c r="W41" s="134">
        <v>44844</v>
      </c>
      <c r="X41" s="134"/>
      <c r="Y41" s="136">
        <v>53</v>
      </c>
      <c r="Z41" s="137">
        <v>0</v>
      </c>
      <c r="AA41" s="135"/>
      <c r="AB41" s="209"/>
      <c r="AC41" s="220"/>
      <c r="AD41" s="158">
        <v>0.51351351351351349</v>
      </c>
      <c r="AE41" s="208">
        <v>0.71621621621621623</v>
      </c>
      <c r="AF41" s="162"/>
      <c r="AG41" s="163"/>
      <c r="AH41" s="163" t="str">
        <f>"                                               " &amp; TEXT(AE41,"#0.00%") &amp; "/" &amp; TEXT(AD41,"#0.00% ") &amp; "" &amp; "포털" &amp; " " &amp; IF(P41="","",TEXT(P41,"M/D-")) &amp; IF(Q41="","",TEXT(Q41,"M/D")) &amp; " "</f>
        <v xml:space="preserve">                                               71.62%/51.35% 포털 10/10-12/9 </v>
      </c>
      <c r="AI41" s="163"/>
      <c r="AJ41" s="163"/>
      <c r="AK41" s="163"/>
    </row>
    <row r="42" spans="1:37" ht="12" customHeight="1" outlineLevel="6">
      <c r="A42" s="132"/>
      <c r="B42" s="132"/>
      <c r="C42" s="132">
        <v>7</v>
      </c>
      <c r="D42" s="159" t="s">
        <v>1965</v>
      </c>
      <c r="E42" s="133"/>
      <c r="F42" s="133"/>
      <c r="G42" s="133"/>
      <c r="H42" s="133"/>
      <c r="I42" s="133"/>
      <c r="J42" s="133"/>
      <c r="K42" s="133" t="s">
        <v>1912</v>
      </c>
      <c r="L42" s="133"/>
      <c r="M42" s="133"/>
      <c r="N42" s="133"/>
      <c r="O42" s="133"/>
      <c r="P42" s="134">
        <v>44844</v>
      </c>
      <c r="Q42" s="134">
        <v>44855</v>
      </c>
      <c r="R42" s="133"/>
      <c r="S42" s="135">
        <v>9</v>
      </c>
      <c r="T42" s="135">
        <v>9</v>
      </c>
      <c r="U42" s="135">
        <v>9</v>
      </c>
      <c r="V42" s="135">
        <v>9</v>
      </c>
      <c r="W42" s="134">
        <v>44844</v>
      </c>
      <c r="X42" s="134">
        <v>44855</v>
      </c>
      <c r="Y42" s="136">
        <v>9</v>
      </c>
      <c r="Z42" s="137">
        <v>9</v>
      </c>
      <c r="AA42" s="135"/>
      <c r="AB42" s="209" t="s">
        <v>1910</v>
      </c>
      <c r="AC42" s="220"/>
      <c r="AD42" s="158">
        <v>1</v>
      </c>
      <c r="AE42" s="166">
        <v>1</v>
      </c>
      <c r="AF42" s="162"/>
      <c r="AG42" s="163" t="str">
        <f>"                                           " &amp; TEXT(AE42,"#0.00%") &amp; "/" &amp; TEXT(AD42,"#0.00% ") &amp; "" &amp; "권한별 포털 화면구성 (메뉴,권한관리) 1차" &amp; "(송빈)" &amp; " " &amp; IF(P42="","",TEXT(P42,"M/D-")) &amp; IF(Q42="","",TEXT(Q42,"M/D")) &amp; " "</f>
        <v xml:space="preserve">                                           100.00%/100.00% 권한별 포털 화면구성 (메뉴,권한관리) 1차(송빈) 10/10-10/21 </v>
      </c>
      <c r="AH42" s="163"/>
      <c r="AI42" s="163"/>
      <c r="AJ42" s="163"/>
      <c r="AK42" s="163"/>
    </row>
    <row r="43" spans="1:37" ht="12" customHeight="1" outlineLevel="6">
      <c r="A43" s="132"/>
      <c r="B43" s="132"/>
      <c r="C43" s="132">
        <v>7</v>
      </c>
      <c r="D43" s="159" t="s">
        <v>1966</v>
      </c>
      <c r="E43" s="133"/>
      <c r="F43" s="133"/>
      <c r="G43" s="133"/>
      <c r="H43" s="133"/>
      <c r="I43" s="133"/>
      <c r="J43" s="133"/>
      <c r="K43" s="133" t="s">
        <v>1913</v>
      </c>
      <c r="L43" s="133"/>
      <c r="M43" s="133"/>
      <c r="N43" s="133"/>
      <c r="O43" s="133"/>
      <c r="P43" s="134">
        <v>44865</v>
      </c>
      <c r="Q43" s="134">
        <v>44883</v>
      </c>
      <c r="R43" s="133"/>
      <c r="S43" s="135">
        <v>15</v>
      </c>
      <c r="T43" s="135">
        <v>6</v>
      </c>
      <c r="U43" s="135">
        <v>15</v>
      </c>
      <c r="V43" s="135">
        <v>6</v>
      </c>
      <c r="W43" s="134">
        <v>44865</v>
      </c>
      <c r="X43" s="134"/>
      <c r="Y43" s="136">
        <v>7.5</v>
      </c>
      <c r="Z43" s="137">
        <v>0</v>
      </c>
      <c r="AA43" s="135"/>
      <c r="AB43" s="209" t="s">
        <v>1910</v>
      </c>
      <c r="AC43" s="220"/>
      <c r="AD43" s="158">
        <v>0.4</v>
      </c>
      <c r="AE43" s="207">
        <v>0.5</v>
      </c>
      <c r="AF43" s="162"/>
      <c r="AG43" s="163"/>
      <c r="AH43" s="163" t="str">
        <f>"                   " &amp; TEXT(AE43,"#0.00%") &amp; "/" &amp; TEXT(AD43,"#0.00% ") &amp; "" &amp; "권한별 포털 화면구성 (메뉴,권한관리) 2차" &amp; "(송빈)" &amp; " " &amp; IF(P43="","",TEXT(P43,"M/D-")) &amp; IF(Q43="","",TEXT(Q43,"M/D")) &amp; " "</f>
        <v xml:space="preserve">                   50.00%/40.00% 권한별 포털 화면구성 (메뉴,권한관리) 2차(송빈) 10/31-11/18 </v>
      </c>
      <c r="AI43" s="163"/>
      <c r="AJ43" s="163"/>
      <c r="AK43" s="163"/>
    </row>
    <row r="44" spans="1:37" ht="12" customHeight="1" outlineLevel="6">
      <c r="A44" s="132"/>
      <c r="B44" s="132"/>
      <c r="C44" s="132">
        <v>7</v>
      </c>
      <c r="D44" s="159" t="s">
        <v>1967</v>
      </c>
      <c r="E44" s="133"/>
      <c r="F44" s="133"/>
      <c r="G44" s="133"/>
      <c r="H44" s="133"/>
      <c r="I44" s="133"/>
      <c r="J44" s="133"/>
      <c r="K44" s="133" t="s">
        <v>1843</v>
      </c>
      <c r="L44" s="133"/>
      <c r="M44" s="133"/>
      <c r="N44" s="133"/>
      <c r="O44" s="133"/>
      <c r="P44" s="134">
        <v>44858</v>
      </c>
      <c r="Q44" s="134">
        <v>44883</v>
      </c>
      <c r="R44" s="133"/>
      <c r="S44" s="135">
        <v>20</v>
      </c>
      <c r="T44" s="135">
        <v>11</v>
      </c>
      <c r="U44" s="135">
        <v>20</v>
      </c>
      <c r="V44" s="135">
        <v>11</v>
      </c>
      <c r="W44" s="134">
        <v>44858</v>
      </c>
      <c r="X44" s="134">
        <v>44883</v>
      </c>
      <c r="Y44" s="136">
        <v>20</v>
      </c>
      <c r="Z44" s="137">
        <v>20</v>
      </c>
      <c r="AA44" s="135"/>
      <c r="AB44" s="209" t="s">
        <v>1910</v>
      </c>
      <c r="AC44" s="220"/>
      <c r="AD44" s="158">
        <v>0.55000000000000004</v>
      </c>
      <c r="AE44" s="207">
        <v>1</v>
      </c>
      <c r="AF44" s="162"/>
      <c r="AG44" s="163"/>
      <c r="AH44" s="163" t="str">
        <f>"                                      " &amp; TEXT(AE44,"#0.00%") &amp; "/" &amp; TEXT(AD44,"#0.00% ") &amp; "" &amp; "Extjs4.0 표준 화면 적용  " &amp; "(송빈)" &amp; " " &amp; IF(P44="","",TEXT(P44,"M/D-")) &amp; IF(Q44="","",TEXT(Q44,"M/D")) &amp; " "</f>
        <v xml:space="preserve">                                      100.00%/55.00% Extjs4.0 표준 화면 적용  (송빈) 10/24-11/18 </v>
      </c>
      <c r="AI44" s="163"/>
      <c r="AJ44" s="163"/>
      <c r="AK44" s="163"/>
    </row>
    <row r="45" spans="1:37" ht="12" customHeight="1" outlineLevel="6">
      <c r="A45" s="132"/>
      <c r="B45" s="132"/>
      <c r="C45" s="132">
        <v>7</v>
      </c>
      <c r="D45" s="159" t="s">
        <v>1968</v>
      </c>
      <c r="E45" s="133"/>
      <c r="F45" s="133"/>
      <c r="G45" s="133"/>
      <c r="H45" s="133"/>
      <c r="I45" s="133"/>
      <c r="J45" s="133"/>
      <c r="K45" s="133" t="s">
        <v>1844</v>
      </c>
      <c r="L45" s="133"/>
      <c r="M45" s="133"/>
      <c r="N45" s="133"/>
      <c r="O45" s="133"/>
      <c r="P45" s="134">
        <v>44858</v>
      </c>
      <c r="Q45" s="134">
        <v>44883</v>
      </c>
      <c r="R45" s="133"/>
      <c r="S45" s="135">
        <v>20</v>
      </c>
      <c r="T45" s="135">
        <v>11</v>
      </c>
      <c r="U45" s="135">
        <v>20</v>
      </c>
      <c r="V45" s="135">
        <v>11</v>
      </c>
      <c r="W45" s="134">
        <v>44858</v>
      </c>
      <c r="X45" s="134"/>
      <c r="Y45" s="136">
        <v>14</v>
      </c>
      <c r="Z45" s="137">
        <v>0</v>
      </c>
      <c r="AA45" s="135"/>
      <c r="AB45" s="209" t="s">
        <v>1910</v>
      </c>
      <c r="AC45" s="220"/>
      <c r="AD45" s="158">
        <v>0.55000000000000004</v>
      </c>
      <c r="AE45" s="207">
        <v>0.7</v>
      </c>
      <c r="AF45" s="162"/>
      <c r="AG45" s="163"/>
      <c r="AH45" s="163" t="str">
        <f>"                     " &amp; TEXT(AE45,"#0.00%") &amp; "/" &amp; TEXT(AD45,"#0.00% ") &amp; "" &amp; "알림기능 (아이콘에 건수 표시하고, 클릭시  알림 목록 표시 및 내용보기화면으로 )" &amp; "(송빈)" &amp; " " &amp; IF(P45="","",TEXT(P45,"M/D-")) &amp; IF(Q45="","",TEXT(Q45,"M/D")) &amp; " "</f>
        <v xml:space="preserve">                     70.00%/55.00% 알림기능 (아이콘에 건수 표시하고, 클릭시  알림 목록 표시 및 내용보기화면으로 )(송빈) 10/24-11/18 </v>
      </c>
      <c r="AI45" s="163"/>
      <c r="AJ45" s="163"/>
      <c r="AK45" s="163"/>
    </row>
    <row r="46" spans="1:37" ht="12" customHeight="1" outlineLevel="6">
      <c r="A46" s="132"/>
      <c r="B46" s="132"/>
      <c r="C46" s="132">
        <v>7</v>
      </c>
      <c r="D46" s="159" t="s">
        <v>1969</v>
      </c>
      <c r="E46" s="133"/>
      <c r="F46" s="133"/>
      <c r="G46" s="133"/>
      <c r="H46" s="133"/>
      <c r="I46" s="133"/>
      <c r="J46" s="133"/>
      <c r="K46" s="133" t="s">
        <v>1914</v>
      </c>
      <c r="L46" s="133"/>
      <c r="M46" s="133"/>
      <c r="N46" s="133"/>
      <c r="O46" s="133"/>
      <c r="P46" s="134">
        <v>44872</v>
      </c>
      <c r="Q46" s="134">
        <v>44876</v>
      </c>
      <c r="R46" s="133"/>
      <c r="S46" s="135">
        <v>5</v>
      </c>
      <c r="T46" s="135">
        <v>1</v>
      </c>
      <c r="U46" s="135">
        <v>5</v>
      </c>
      <c r="V46" s="135">
        <v>1</v>
      </c>
      <c r="W46" s="134">
        <v>44872</v>
      </c>
      <c r="X46" s="134"/>
      <c r="Y46" s="136">
        <v>2.5</v>
      </c>
      <c r="Z46" s="137">
        <v>0</v>
      </c>
      <c r="AA46" s="135"/>
      <c r="AB46" s="209" t="s">
        <v>1910</v>
      </c>
      <c r="AC46" s="220"/>
      <c r="AD46" s="158">
        <v>0.2</v>
      </c>
      <c r="AE46" s="207">
        <v>0.5</v>
      </c>
      <c r="AF46" s="162"/>
      <c r="AG46" s="163"/>
      <c r="AH46" s="163" t="str">
        <f>"                   " &amp; TEXT(AE46,"#0.00%") &amp; "/" &amp; TEXT(AD46,"#0.00% ") &amp; "" &amp; "조직도 연동 (인사 DB) - 인사정보,부서, 직급(직책) 1차" &amp; "(송빈)" &amp; " " &amp; IF(P46="","",TEXT(P46,"M/D-")) &amp; IF(Q46="","",TEXT(Q46,"M/D")) &amp; " "</f>
        <v xml:space="preserve">                   50.00%/20.00% 조직도 연동 (인사 DB) - 인사정보,부서, 직급(직책) 1차(송빈) 11/7-11/11 </v>
      </c>
      <c r="AI46" s="163"/>
      <c r="AJ46" s="163"/>
      <c r="AK46" s="163"/>
    </row>
    <row r="47" spans="1:37" ht="12" customHeight="1" outlineLevel="6">
      <c r="A47" s="132"/>
      <c r="B47" s="132"/>
      <c r="C47" s="132">
        <v>7</v>
      </c>
      <c r="D47" s="159" t="s">
        <v>1970</v>
      </c>
      <c r="E47" s="133"/>
      <c r="F47" s="133"/>
      <c r="G47" s="133"/>
      <c r="H47" s="133"/>
      <c r="I47" s="133"/>
      <c r="J47" s="133"/>
      <c r="K47" s="133" t="s">
        <v>1915</v>
      </c>
      <c r="L47" s="133"/>
      <c r="M47" s="133"/>
      <c r="N47" s="133"/>
      <c r="O47" s="133"/>
      <c r="P47" s="134">
        <v>44900</v>
      </c>
      <c r="Q47" s="134">
        <v>44904</v>
      </c>
      <c r="R47" s="133"/>
      <c r="S47" s="135">
        <v>5</v>
      </c>
      <c r="T47" s="135">
        <v>0</v>
      </c>
      <c r="U47" s="135">
        <v>5</v>
      </c>
      <c r="V47" s="135">
        <v>0</v>
      </c>
      <c r="W47" s="134"/>
      <c r="X47" s="134"/>
      <c r="Y47" s="136">
        <v>0</v>
      </c>
      <c r="Z47" s="137">
        <v>0</v>
      </c>
      <c r="AA47" s="135"/>
      <c r="AB47" s="209" t="s">
        <v>1910</v>
      </c>
      <c r="AC47" s="220"/>
      <c r="AD47" s="158">
        <v>0</v>
      </c>
      <c r="AE47" s="166">
        <v>0</v>
      </c>
      <c r="AF47" s="162"/>
      <c r="AG47" s="163"/>
      <c r="AH47" s="163"/>
      <c r="AI47" s="163" t="str">
        <f>"        " &amp; TEXT(AE47,"#0.00%") &amp; "/" &amp; TEXT(AD47,"#0.00% ") &amp; "" &amp; "조직도 연동 (인사 DB) - 인사정보,부서, 직급(직책) 2차" &amp; "(송빈)" &amp; " " &amp; IF(P47="","",TEXT(P47,"M/D-")) &amp; IF(Q47="","",TEXT(Q47,"M/D")) &amp; " "</f>
        <v xml:space="preserve">        0.00%/0.00% 조직도 연동 (인사 DB) - 인사정보,부서, 직급(직책) 2차(송빈) 12/5-12/9 </v>
      </c>
      <c r="AJ47" s="163"/>
      <c r="AK47" s="163"/>
    </row>
    <row r="48" spans="1:37" ht="12" customHeight="1" outlineLevel="5">
      <c r="A48" s="132"/>
      <c r="B48" s="132" t="s">
        <v>1363</v>
      </c>
      <c r="C48" s="132">
        <v>6</v>
      </c>
      <c r="D48" s="159" t="s">
        <v>1971</v>
      </c>
      <c r="E48" s="133"/>
      <c r="F48" s="133"/>
      <c r="G48" s="133"/>
      <c r="H48" s="133"/>
      <c r="I48" s="133"/>
      <c r="J48" s="133" t="s">
        <v>1845</v>
      </c>
      <c r="K48" s="133"/>
      <c r="L48" s="133"/>
      <c r="M48" s="133"/>
      <c r="N48" s="133"/>
      <c r="O48" s="133"/>
      <c r="P48" s="134">
        <v>44865</v>
      </c>
      <c r="Q48" s="134">
        <v>44876</v>
      </c>
      <c r="R48" s="133"/>
      <c r="S48" s="135">
        <v>20</v>
      </c>
      <c r="T48" s="135">
        <v>8</v>
      </c>
      <c r="U48" s="135">
        <v>10</v>
      </c>
      <c r="V48" s="135">
        <v>6</v>
      </c>
      <c r="W48" s="134"/>
      <c r="X48" s="134"/>
      <c r="Y48" s="136">
        <v>0</v>
      </c>
      <c r="Z48" s="137">
        <v>0</v>
      </c>
      <c r="AA48" s="135"/>
      <c r="AB48" s="209"/>
      <c r="AC48" s="220"/>
      <c r="AD48" s="158">
        <v>0.4</v>
      </c>
      <c r="AE48" s="165">
        <v>0</v>
      </c>
      <c r="AF48" s="162"/>
      <c r="AG48" s="163" t="str">
        <f>"                                                              " &amp; TEXT(AE48,"#0.00%") &amp; "/" &amp; TEXT(AD48,"#0.00% ") &amp; "" &amp; "전자결재" &amp; " " &amp; IF(P48="","",TEXT(P48,"M/D-")) &amp; IF(Q48="","",TEXT(Q48,"M/D")) &amp; " "</f>
        <v xml:space="preserve">                                                              0.00%/40.00% 전자결재 10/31-11/11 </v>
      </c>
      <c r="AH48" s="163"/>
      <c r="AI48" s="163"/>
      <c r="AJ48" s="163"/>
      <c r="AK48" s="163"/>
    </row>
    <row r="49" spans="1:37" ht="12" customHeight="1" outlineLevel="6">
      <c r="A49" s="132"/>
      <c r="B49" s="132"/>
      <c r="C49" s="132">
        <v>7</v>
      </c>
      <c r="D49" s="159" t="s">
        <v>1972</v>
      </c>
      <c r="E49" s="133"/>
      <c r="F49" s="133"/>
      <c r="G49" s="133"/>
      <c r="H49" s="133"/>
      <c r="I49" s="133"/>
      <c r="J49" s="133"/>
      <c r="K49" s="133" t="s">
        <v>1846</v>
      </c>
      <c r="L49" s="133"/>
      <c r="M49" s="133"/>
      <c r="N49" s="133"/>
      <c r="O49" s="133"/>
      <c r="P49" s="134">
        <v>44865</v>
      </c>
      <c r="Q49" s="134">
        <v>44876</v>
      </c>
      <c r="R49" s="133"/>
      <c r="S49" s="135">
        <v>10</v>
      </c>
      <c r="T49" s="135">
        <v>6</v>
      </c>
      <c r="U49" s="135">
        <v>10</v>
      </c>
      <c r="V49" s="135">
        <v>6</v>
      </c>
      <c r="W49" s="134"/>
      <c r="X49" s="134"/>
      <c r="Y49" s="136">
        <v>0</v>
      </c>
      <c r="Z49" s="137">
        <v>0</v>
      </c>
      <c r="AA49" s="135"/>
      <c r="AB49" s="209" t="s">
        <v>1883</v>
      </c>
      <c r="AC49" s="220" t="s">
        <v>1916</v>
      </c>
      <c r="AD49" s="158">
        <v>0.6</v>
      </c>
      <c r="AE49" s="164">
        <v>0</v>
      </c>
      <c r="AF49" s="162"/>
      <c r="AG49" s="163" t="str">
        <f>"                                                              " &amp; TEXT(AE49,"#0.00%") &amp; "/" &amp; TEXT(AD49,"#0.00% ") &amp; "" &amp; "전결 규정 정의 및 양식 파악" &amp; "(장매화)" &amp; " " &amp; IF(P49="","",TEXT(P49,"M/D-")) &amp; IF(Q49="","",TEXT(Q49,"M/D")) &amp; " "</f>
        <v xml:space="preserve">                                                              0.00%/60.00% 전결 규정 정의 및 양식 파악(장매화) 10/31-11/11 </v>
      </c>
      <c r="AH49" s="163"/>
      <c r="AI49" s="163"/>
      <c r="AJ49" s="163"/>
      <c r="AK49" s="163"/>
    </row>
    <row r="50" spans="1:37" ht="12" customHeight="1" outlineLevel="6">
      <c r="A50" s="132"/>
      <c r="B50" s="132"/>
      <c r="C50" s="132">
        <v>7</v>
      </c>
      <c r="D50" s="159" t="s">
        <v>1973</v>
      </c>
      <c r="E50" s="133"/>
      <c r="F50" s="133"/>
      <c r="G50" s="133"/>
      <c r="H50" s="133"/>
      <c r="I50" s="133"/>
      <c r="J50" s="133"/>
      <c r="K50" s="133" t="s">
        <v>1847</v>
      </c>
      <c r="L50" s="133"/>
      <c r="M50" s="133"/>
      <c r="N50" s="133"/>
      <c r="O50" s="133"/>
      <c r="P50" s="134">
        <v>44872</v>
      </c>
      <c r="Q50" s="134">
        <v>44876</v>
      </c>
      <c r="R50" s="133"/>
      <c r="S50" s="135">
        <v>5</v>
      </c>
      <c r="T50" s="135">
        <v>1</v>
      </c>
      <c r="U50" s="135">
        <v>5</v>
      </c>
      <c r="V50" s="135">
        <v>1</v>
      </c>
      <c r="W50" s="134"/>
      <c r="X50" s="134"/>
      <c r="Y50" s="136">
        <v>0</v>
      </c>
      <c r="Z50" s="137">
        <v>0</v>
      </c>
      <c r="AA50" s="135"/>
      <c r="AB50" s="209" t="s">
        <v>1910</v>
      </c>
      <c r="AC50" s="220"/>
      <c r="AD50" s="158">
        <v>0.2</v>
      </c>
      <c r="AE50" s="164">
        <v>0</v>
      </c>
      <c r="AF50" s="162"/>
      <c r="AG50" s="163"/>
      <c r="AH50" s="163" t="str">
        <f>"             " &amp; TEXT(AE50,"#0.00%") &amp; "/" &amp; TEXT(AD50,"#0.00% ") &amp; "" &amp; "전자결재 양식 설계(휴가신청서 외 10)" &amp; "(송빈)" &amp; " " &amp; IF(P50="","",TEXT(P50,"M/D-")) &amp; IF(Q50="","",TEXT(Q50,"M/D")) &amp; " "</f>
        <v xml:space="preserve">             0.00%/20.00% 전자결재 양식 설계(휴가신청서 외 10)(송빈) 11/7-11/11 </v>
      </c>
      <c r="AI50" s="163"/>
      <c r="AJ50" s="163"/>
      <c r="AK50" s="163"/>
    </row>
    <row r="51" spans="1:37" ht="12" customHeight="1" outlineLevel="6">
      <c r="A51" s="132"/>
      <c r="B51" s="132"/>
      <c r="C51" s="132">
        <v>7</v>
      </c>
      <c r="D51" s="159" t="s">
        <v>1974</v>
      </c>
      <c r="E51" s="133"/>
      <c r="F51" s="133"/>
      <c r="G51" s="133"/>
      <c r="H51" s="133"/>
      <c r="I51" s="133"/>
      <c r="J51" s="133"/>
      <c r="K51" s="133" t="s">
        <v>1848</v>
      </c>
      <c r="L51" s="133"/>
      <c r="M51" s="133"/>
      <c r="N51" s="133"/>
      <c r="O51" s="133"/>
      <c r="P51" s="134">
        <v>44872</v>
      </c>
      <c r="Q51" s="134">
        <v>44876</v>
      </c>
      <c r="R51" s="133"/>
      <c r="S51" s="135">
        <v>5</v>
      </c>
      <c r="T51" s="135">
        <v>1</v>
      </c>
      <c r="U51" s="135">
        <v>5</v>
      </c>
      <c r="V51" s="135">
        <v>1</v>
      </c>
      <c r="W51" s="134"/>
      <c r="X51" s="134"/>
      <c r="Y51" s="136">
        <v>0</v>
      </c>
      <c r="Z51" s="137">
        <v>0</v>
      </c>
      <c r="AA51" s="135"/>
      <c r="AB51" s="209" t="s">
        <v>1910</v>
      </c>
      <c r="AC51" s="220"/>
      <c r="AD51" s="158">
        <v>0.2</v>
      </c>
      <c r="AE51" s="164">
        <v>0</v>
      </c>
      <c r="AF51" s="162"/>
      <c r="AG51" s="163"/>
      <c r="AH51" s="163" t="str">
        <f>"             " &amp; TEXT(AE51,"#0.00%") &amp; "/" &amp; TEXT(AD51,"#0.00% ") &amp; "" &amp; "개인문서함/부서문서함  분리구성 / 결재문서함 정리 커스터마이징 " &amp; "(송빈)" &amp; " " &amp; IF(P51="","",TEXT(P51,"M/D-")) &amp; IF(Q51="","",TEXT(Q51,"M/D")) &amp; " "</f>
        <v xml:space="preserve">             0.00%/20.00% 개인문서함/부서문서함  분리구성 / 결재문서함 정리 커스터마이징 (송빈) 11/7-11/11 </v>
      </c>
      <c r="AI51" s="163"/>
      <c r="AJ51" s="163"/>
      <c r="AK51" s="163"/>
    </row>
    <row r="52" spans="1:37" ht="12" customHeight="1" outlineLevel="5">
      <c r="A52" s="132"/>
      <c r="B52" s="132" t="s">
        <v>1363</v>
      </c>
      <c r="C52" s="132">
        <v>6</v>
      </c>
      <c r="D52" s="159" t="s">
        <v>1975</v>
      </c>
      <c r="E52" s="133"/>
      <c r="F52" s="133"/>
      <c r="G52" s="133"/>
      <c r="H52" s="133"/>
      <c r="I52" s="133"/>
      <c r="J52" s="133" t="s">
        <v>1854</v>
      </c>
      <c r="K52" s="133"/>
      <c r="L52" s="133"/>
      <c r="M52" s="133"/>
      <c r="N52" s="133"/>
      <c r="O52" s="133"/>
      <c r="P52" s="134">
        <v>44872</v>
      </c>
      <c r="Q52" s="134">
        <v>44890</v>
      </c>
      <c r="R52" s="133"/>
      <c r="S52" s="135">
        <v>35</v>
      </c>
      <c r="T52" s="135">
        <v>3</v>
      </c>
      <c r="U52" s="135">
        <v>15</v>
      </c>
      <c r="V52" s="135">
        <v>1</v>
      </c>
      <c r="W52" s="134"/>
      <c r="X52" s="134"/>
      <c r="Y52" s="136">
        <v>0</v>
      </c>
      <c r="Z52" s="137">
        <v>0</v>
      </c>
      <c r="AA52" s="135"/>
      <c r="AB52" s="209"/>
      <c r="AC52" s="220"/>
      <c r="AD52" s="158">
        <v>8.5714285714285715E-2</v>
      </c>
      <c r="AE52" s="165">
        <v>0</v>
      </c>
      <c r="AF52" s="162"/>
      <c r="AG52" s="163"/>
      <c r="AH52" s="163" t="str">
        <f>"             " &amp; TEXT(AE52,"#0.00%") &amp; "/" &amp; TEXT(AD52,"#0.00% ") &amp; "" &amp; "게시판/공지사항" &amp; " " &amp; IF(P52="","",TEXT(P52,"M/D-")) &amp; IF(Q52="","",TEXT(Q52,"M/D")) &amp; " "</f>
        <v xml:space="preserve">             0.00%/8.57% 게시판/공지사항 11/7-11/25 </v>
      </c>
      <c r="AI52" s="163"/>
      <c r="AJ52" s="163"/>
      <c r="AK52" s="163"/>
    </row>
    <row r="53" spans="1:37" ht="12" customHeight="1" outlineLevel="6">
      <c r="A53" s="132"/>
      <c r="B53" s="132"/>
      <c r="C53" s="132">
        <v>7</v>
      </c>
      <c r="D53" s="159" t="s">
        <v>1976</v>
      </c>
      <c r="E53" s="133"/>
      <c r="F53" s="133"/>
      <c r="G53" s="133"/>
      <c r="H53" s="133"/>
      <c r="I53" s="133"/>
      <c r="J53" s="133"/>
      <c r="K53" s="133" t="s">
        <v>1855</v>
      </c>
      <c r="L53" s="133"/>
      <c r="M53" s="133"/>
      <c r="N53" s="133"/>
      <c r="O53" s="133"/>
      <c r="P53" s="134">
        <v>44872</v>
      </c>
      <c r="Q53" s="134">
        <v>44876</v>
      </c>
      <c r="R53" s="133"/>
      <c r="S53" s="135">
        <v>5</v>
      </c>
      <c r="T53" s="135">
        <v>1</v>
      </c>
      <c r="U53" s="135">
        <v>5</v>
      </c>
      <c r="V53" s="135">
        <v>1</v>
      </c>
      <c r="W53" s="134"/>
      <c r="X53" s="134"/>
      <c r="Y53" s="136">
        <v>0</v>
      </c>
      <c r="Z53" s="137">
        <v>0</v>
      </c>
      <c r="AA53" s="135"/>
      <c r="AB53" s="209" t="s">
        <v>1910</v>
      </c>
      <c r="AC53" s="220"/>
      <c r="AD53" s="158">
        <v>0.2</v>
      </c>
      <c r="AE53" s="164">
        <v>0</v>
      </c>
      <c r="AF53" s="162"/>
      <c r="AG53" s="163"/>
      <c r="AH53" s="163" t="str">
        <f>"             " &amp; TEXT(AE53,"#0.00%") &amp; "/" &amp; TEXT(AD53,"#0.00% ") &amp; "" &amp; "공지사항 게시판 제공 / 접근권한관리" &amp; "(송빈)" &amp; " " &amp; IF(P53="","",TEXT(P53,"M/D-")) &amp; IF(Q53="","",TEXT(Q53,"M/D")) &amp; " "</f>
        <v xml:space="preserve">             0.00%/20.00% 공지사항 게시판 제공 / 접근권한관리(송빈) 11/7-11/11 </v>
      </c>
      <c r="AI53" s="163"/>
      <c r="AJ53" s="163"/>
      <c r="AK53" s="163"/>
    </row>
    <row r="54" spans="1:37" ht="12" customHeight="1" outlineLevel="6">
      <c r="A54" s="132"/>
      <c r="B54" s="132"/>
      <c r="C54" s="132">
        <v>7</v>
      </c>
      <c r="D54" s="159" t="s">
        <v>1977</v>
      </c>
      <c r="E54" s="133"/>
      <c r="F54" s="133"/>
      <c r="G54" s="133"/>
      <c r="H54" s="133"/>
      <c r="I54" s="133"/>
      <c r="J54" s="133"/>
      <c r="K54" s="133" t="s">
        <v>1856</v>
      </c>
      <c r="L54" s="133"/>
      <c r="M54" s="133"/>
      <c r="N54" s="133"/>
      <c r="O54" s="133"/>
      <c r="P54" s="134">
        <v>44872</v>
      </c>
      <c r="Q54" s="134">
        <v>44890</v>
      </c>
      <c r="R54" s="133"/>
      <c r="S54" s="135">
        <v>15</v>
      </c>
      <c r="T54" s="135">
        <v>1</v>
      </c>
      <c r="U54" s="135">
        <v>15</v>
      </c>
      <c r="V54" s="135">
        <v>1</v>
      </c>
      <c r="W54" s="134"/>
      <c r="X54" s="134"/>
      <c r="Y54" s="136">
        <v>0</v>
      </c>
      <c r="Z54" s="137">
        <v>0</v>
      </c>
      <c r="AA54" s="135"/>
      <c r="AB54" s="209" t="s">
        <v>1910</v>
      </c>
      <c r="AC54" s="220"/>
      <c r="AD54" s="158">
        <v>6.6666666666666666E-2</v>
      </c>
      <c r="AE54" s="164">
        <v>0</v>
      </c>
      <c r="AF54" s="162"/>
      <c r="AG54" s="163"/>
      <c r="AH54" s="163" t="str">
        <f>"             " &amp; TEXT(AE54,"#0.00%") &amp; "/" &amp; TEXT(AD54,"#0.00% ") &amp; "" &amp; "최상단에 공지글 고정" &amp; "(송빈)" &amp; " " &amp; IF(P54="","",TEXT(P54,"M/D-")) &amp; IF(Q54="","",TEXT(Q54,"M/D")) &amp; " "</f>
        <v xml:space="preserve">             0.00%/6.67% 최상단에 공지글 고정(송빈) 11/7-11/25 </v>
      </c>
      <c r="AI54" s="163"/>
      <c r="AJ54" s="163"/>
      <c r="AK54" s="163"/>
    </row>
    <row r="55" spans="1:37" ht="12" customHeight="1" outlineLevel="6">
      <c r="A55" s="132"/>
      <c r="B55" s="132"/>
      <c r="C55" s="132">
        <v>7</v>
      </c>
      <c r="D55" s="159" t="s">
        <v>1978</v>
      </c>
      <c r="E55" s="133"/>
      <c r="F55" s="133"/>
      <c r="G55" s="133"/>
      <c r="H55" s="133"/>
      <c r="I55" s="133"/>
      <c r="J55" s="133"/>
      <c r="K55" s="133" t="s">
        <v>1857</v>
      </c>
      <c r="L55" s="133"/>
      <c r="M55" s="133"/>
      <c r="N55" s="133"/>
      <c r="O55" s="133"/>
      <c r="P55" s="134">
        <v>44872</v>
      </c>
      <c r="Q55" s="134">
        <v>44890</v>
      </c>
      <c r="R55" s="133"/>
      <c r="S55" s="135">
        <v>15</v>
      </c>
      <c r="T55" s="135">
        <v>1</v>
      </c>
      <c r="U55" s="135">
        <v>15</v>
      </c>
      <c r="V55" s="135">
        <v>1</v>
      </c>
      <c r="W55" s="134"/>
      <c r="X55" s="134"/>
      <c r="Y55" s="136">
        <v>0</v>
      </c>
      <c r="Z55" s="137">
        <v>0</v>
      </c>
      <c r="AA55" s="135"/>
      <c r="AB55" s="209" t="s">
        <v>1910</v>
      </c>
      <c r="AC55" s="220"/>
      <c r="AD55" s="158">
        <v>6.6666666666666666E-2</v>
      </c>
      <c r="AE55" s="164">
        <v>0</v>
      </c>
      <c r="AF55" s="162"/>
      <c r="AG55" s="163"/>
      <c r="AH55" s="163" t="str">
        <f>"             " &amp; TEXT(AE55,"#0.00%") &amp; "/" &amp; TEXT(AD55,"#0.00% ") &amp; "" &amp; "포토 갤러리 게시판 포함 게시판 생성 기능 개선" &amp; "(송빈)" &amp; " " &amp; IF(P55="","",TEXT(P55,"M/D-")) &amp; IF(Q55="","",TEXT(Q55,"M/D")) &amp; " "</f>
        <v xml:space="preserve">             0.00%/6.67% 포토 갤러리 게시판 포함 게시판 생성 기능 개선(송빈) 11/7-11/25 </v>
      </c>
      <c r="AI55" s="163"/>
      <c r="AJ55" s="163"/>
      <c r="AK55" s="163"/>
    </row>
    <row r="56" spans="1:37" ht="12" customHeight="1" outlineLevel="5">
      <c r="A56" s="132"/>
      <c r="B56" s="132" t="s">
        <v>1363</v>
      </c>
      <c r="C56" s="132">
        <v>6</v>
      </c>
      <c r="D56" s="159" t="s">
        <v>1979</v>
      </c>
      <c r="E56" s="133"/>
      <c r="F56" s="133"/>
      <c r="G56" s="133"/>
      <c r="H56" s="133"/>
      <c r="I56" s="133"/>
      <c r="J56" s="133" t="s">
        <v>1858</v>
      </c>
      <c r="K56" s="133"/>
      <c r="L56" s="133"/>
      <c r="M56" s="133"/>
      <c r="N56" s="133"/>
      <c r="O56" s="133"/>
      <c r="P56" s="134">
        <v>44893</v>
      </c>
      <c r="Q56" s="134">
        <v>44897</v>
      </c>
      <c r="R56" s="133"/>
      <c r="S56" s="135">
        <v>5</v>
      </c>
      <c r="T56" s="135">
        <v>0</v>
      </c>
      <c r="U56" s="135">
        <v>5</v>
      </c>
      <c r="V56" s="135">
        <v>0</v>
      </c>
      <c r="W56" s="134"/>
      <c r="X56" s="134"/>
      <c r="Y56" s="136">
        <v>0</v>
      </c>
      <c r="Z56" s="137">
        <v>0</v>
      </c>
      <c r="AA56" s="135"/>
      <c r="AB56" s="209"/>
      <c r="AC56" s="220"/>
      <c r="AD56" s="158">
        <v>0</v>
      </c>
      <c r="AE56" s="192">
        <v>0</v>
      </c>
      <c r="AF56" s="162"/>
      <c r="AG56" s="163"/>
      <c r="AH56" s="163" t="str">
        <f>"                                                          " &amp; TEXT(AE56,"#0.00%") &amp; "/" &amp; TEXT(AD56,"#0.00% ") &amp; "" &amp; "자원예약관리" &amp; " " &amp; IF(P56="","",TEXT(P56,"M/D-")) &amp; IF(Q56="","",TEXT(Q56,"M/D")) &amp; " "</f>
        <v xml:space="preserve">                                                          0.00%/0.00% 자원예약관리 11/28-12/2 </v>
      </c>
      <c r="AI56" s="163"/>
      <c r="AJ56" s="163"/>
      <c r="AK56" s="163"/>
    </row>
    <row r="57" spans="1:37" ht="12" customHeight="1" outlineLevel="6">
      <c r="A57" s="132"/>
      <c r="B57" s="132"/>
      <c r="C57" s="132">
        <v>7</v>
      </c>
      <c r="D57" s="159" t="s">
        <v>1980</v>
      </c>
      <c r="E57" s="133"/>
      <c r="F57" s="133"/>
      <c r="G57" s="133"/>
      <c r="H57" s="133"/>
      <c r="I57" s="133"/>
      <c r="J57" s="133"/>
      <c r="K57" s="133" t="s">
        <v>1859</v>
      </c>
      <c r="L57" s="133"/>
      <c r="M57" s="133"/>
      <c r="N57" s="133"/>
      <c r="O57" s="133"/>
      <c r="P57" s="134">
        <v>44893</v>
      </c>
      <c r="Q57" s="134">
        <v>44897</v>
      </c>
      <c r="R57" s="133"/>
      <c r="S57" s="135">
        <v>5</v>
      </c>
      <c r="T57" s="135">
        <v>0</v>
      </c>
      <c r="U57" s="135">
        <v>5</v>
      </c>
      <c r="V57" s="135">
        <v>0</v>
      </c>
      <c r="W57" s="134"/>
      <c r="X57" s="134"/>
      <c r="Y57" s="136">
        <v>0</v>
      </c>
      <c r="Z57" s="137">
        <v>0</v>
      </c>
      <c r="AA57" s="135"/>
      <c r="AB57" s="209" t="s">
        <v>1910</v>
      </c>
      <c r="AC57" s="220"/>
      <c r="AD57" s="158">
        <v>0</v>
      </c>
      <c r="AE57" s="166">
        <v>0</v>
      </c>
      <c r="AF57" s="162"/>
      <c r="AG57" s="163"/>
      <c r="AH57" s="163" t="str">
        <f>"                                                          " &amp; TEXT(AE57,"#0.00%") &amp; "/" &amp; TEXT(AD57,"#0.00% ") &amp; "" &amp; "전사 공유물에 대한 예약 관리" &amp; "(송빈)" &amp; " " &amp; IF(P57="","",TEXT(P57,"M/D-")) &amp; IF(Q57="","",TEXT(Q57,"M/D")) &amp; " "</f>
        <v xml:space="preserve">                                                          0.00%/0.00% 전사 공유물에 대한 예약 관리(송빈) 11/28-12/2 </v>
      </c>
      <c r="AI57" s="163"/>
      <c r="AJ57" s="163"/>
      <c r="AK57" s="163"/>
    </row>
    <row r="58" spans="1:37" ht="12" customHeight="1" outlineLevel="5">
      <c r="A58" s="132"/>
      <c r="B58" s="132" t="s">
        <v>1363</v>
      </c>
      <c r="C58" s="132">
        <v>6</v>
      </c>
      <c r="D58" s="159" t="s">
        <v>1981</v>
      </c>
      <c r="E58" s="133"/>
      <c r="F58" s="133"/>
      <c r="G58" s="133"/>
      <c r="H58" s="133"/>
      <c r="I58" s="133"/>
      <c r="J58" s="133" t="s">
        <v>1860</v>
      </c>
      <c r="K58" s="133"/>
      <c r="L58" s="133"/>
      <c r="M58" s="133"/>
      <c r="N58" s="133"/>
      <c r="O58" s="133"/>
      <c r="P58" s="134">
        <v>44865</v>
      </c>
      <c r="Q58" s="134">
        <v>44869</v>
      </c>
      <c r="R58" s="133"/>
      <c r="S58" s="135">
        <v>10</v>
      </c>
      <c r="T58" s="135">
        <v>10</v>
      </c>
      <c r="U58" s="135">
        <v>5</v>
      </c>
      <c r="V58" s="135">
        <v>5</v>
      </c>
      <c r="W58" s="134">
        <v>44865</v>
      </c>
      <c r="X58" s="134"/>
      <c r="Y58" s="136">
        <v>3.5</v>
      </c>
      <c r="Z58" s="137">
        <v>0</v>
      </c>
      <c r="AA58" s="135"/>
      <c r="AB58" s="209"/>
      <c r="AC58" s="220"/>
      <c r="AD58" s="158">
        <v>1</v>
      </c>
      <c r="AE58" s="165">
        <v>0.35</v>
      </c>
      <c r="AF58" s="162"/>
      <c r="AG58" s="163"/>
      <c r="AH58" s="163" t="str">
        <f>"  " &amp; TEXT(AE58,"#0.00%") &amp; "/" &amp; TEXT(AD58,"#0.00% ") &amp; "" &amp; "일정 관리" &amp; " " &amp; IF(P58="","",TEXT(P58,"M/D-")) &amp; IF(Q58="","",TEXT(Q58,"M/D")) &amp; " "</f>
        <v xml:space="preserve">  35.00%/100.00% 일정 관리 10/31-11/4 </v>
      </c>
      <c r="AI58" s="163"/>
      <c r="AJ58" s="163"/>
      <c r="AK58" s="163"/>
    </row>
    <row r="59" spans="1:37" ht="12" customHeight="1" outlineLevel="6">
      <c r="A59" s="132"/>
      <c r="B59" s="132"/>
      <c r="C59" s="132">
        <v>7</v>
      </c>
      <c r="D59" s="159" t="s">
        <v>1982</v>
      </c>
      <c r="E59" s="133"/>
      <c r="F59" s="133"/>
      <c r="G59" s="133"/>
      <c r="H59" s="133"/>
      <c r="I59" s="133"/>
      <c r="J59" s="133"/>
      <c r="K59" s="133" t="s">
        <v>1861</v>
      </c>
      <c r="L59" s="133"/>
      <c r="M59" s="133"/>
      <c r="N59" s="133"/>
      <c r="O59" s="133"/>
      <c r="P59" s="134">
        <v>44865</v>
      </c>
      <c r="Q59" s="134">
        <v>44869</v>
      </c>
      <c r="R59" s="133"/>
      <c r="S59" s="135">
        <v>5</v>
      </c>
      <c r="T59" s="135">
        <v>5</v>
      </c>
      <c r="U59" s="135">
        <v>5</v>
      </c>
      <c r="V59" s="135">
        <v>5</v>
      </c>
      <c r="W59" s="134">
        <v>44865</v>
      </c>
      <c r="X59" s="134"/>
      <c r="Y59" s="136">
        <v>3.5</v>
      </c>
      <c r="Z59" s="137">
        <v>0</v>
      </c>
      <c r="AA59" s="135"/>
      <c r="AB59" s="209" t="s">
        <v>1910</v>
      </c>
      <c r="AC59" s="220"/>
      <c r="AD59" s="158">
        <v>1</v>
      </c>
      <c r="AE59" s="164">
        <v>0.7</v>
      </c>
      <c r="AF59" s="162"/>
      <c r="AG59" s="163"/>
      <c r="AH59" s="163" t="str">
        <f>"    " &amp; TEXT(AE59,"#0.00%") &amp; "/" &amp; TEXT(AD59,"#0.00% ") &amp; "" &amp; "조직도 연동된 일정 관리 제공" &amp; "(송빈)" &amp; " " &amp; IF(P59="","",TEXT(P59,"M/D-")) &amp; IF(Q59="","",TEXT(Q59,"M/D")) &amp; " "</f>
        <v xml:space="preserve">    70.00%/100.00% 조직도 연동된 일정 관리 제공(송빈) 10/31-11/4 </v>
      </c>
      <c r="AI59" s="163"/>
      <c r="AJ59" s="163"/>
      <c r="AK59" s="163"/>
    </row>
    <row r="60" spans="1:37" ht="12" customHeight="1" outlineLevel="6">
      <c r="A60" s="132"/>
      <c r="B60" s="132"/>
      <c r="C60" s="132">
        <v>7</v>
      </c>
      <c r="D60" s="159" t="s">
        <v>1983</v>
      </c>
      <c r="E60" s="133"/>
      <c r="F60" s="133"/>
      <c r="G60" s="133"/>
      <c r="H60" s="133"/>
      <c r="I60" s="133"/>
      <c r="J60" s="133"/>
      <c r="K60" s="133" t="s">
        <v>1862</v>
      </c>
      <c r="L60" s="133"/>
      <c r="M60" s="133"/>
      <c r="N60" s="133"/>
      <c r="O60" s="133"/>
      <c r="P60" s="134">
        <v>44865</v>
      </c>
      <c r="Q60" s="134">
        <v>44869</v>
      </c>
      <c r="R60" s="133"/>
      <c r="S60" s="135">
        <v>5</v>
      </c>
      <c r="T60" s="135">
        <v>5</v>
      </c>
      <c r="U60" s="135">
        <v>5</v>
      </c>
      <c r="V60" s="135">
        <v>5</v>
      </c>
      <c r="W60" s="134"/>
      <c r="X60" s="134"/>
      <c r="Y60" s="136">
        <v>0</v>
      </c>
      <c r="Z60" s="137">
        <v>0</v>
      </c>
      <c r="AA60" s="135"/>
      <c r="AB60" s="209" t="s">
        <v>1910</v>
      </c>
      <c r="AC60" s="220"/>
      <c r="AD60" s="158">
        <v>1</v>
      </c>
      <c r="AE60" s="164">
        <v>0</v>
      </c>
      <c r="AF60" s="162"/>
      <c r="AG60" s="163" t="str">
        <f>"                                                              " &amp; TEXT(AE60,"#0.00%") &amp; "/" &amp; TEXT(AD60,"#0.00% ") &amp; "" &amp; "회사 공휴일 연동" &amp; "(송빈)" &amp; " " &amp; IF(P60="","",TEXT(P60,"M/D-")) &amp; IF(Q60="","",TEXT(Q60,"M/D")) &amp; " "</f>
        <v xml:space="preserve">                                                              0.00%/100.00% 회사 공휴일 연동(송빈) 10/31-11/4 </v>
      </c>
      <c r="AH60" s="163"/>
      <c r="AI60" s="163"/>
      <c r="AJ60" s="163"/>
      <c r="AK60" s="163"/>
    </row>
    <row r="61" spans="1:37" ht="12" customHeight="1" outlineLevel="5">
      <c r="A61" s="132"/>
      <c r="B61" s="132" t="s">
        <v>1363</v>
      </c>
      <c r="C61" s="132">
        <v>6</v>
      </c>
      <c r="D61" s="159" t="s">
        <v>1984</v>
      </c>
      <c r="E61" s="133"/>
      <c r="F61" s="133"/>
      <c r="G61" s="133"/>
      <c r="H61" s="133"/>
      <c r="I61" s="133"/>
      <c r="J61" s="133" t="s">
        <v>1863</v>
      </c>
      <c r="K61" s="133"/>
      <c r="L61" s="133"/>
      <c r="M61" s="133"/>
      <c r="N61" s="133"/>
      <c r="O61" s="133"/>
      <c r="P61" s="134">
        <v>44823</v>
      </c>
      <c r="Q61" s="134">
        <v>44897</v>
      </c>
      <c r="R61" s="133"/>
      <c r="S61" s="135">
        <v>112</v>
      </c>
      <c r="T61" s="135">
        <v>92</v>
      </c>
      <c r="U61" s="135">
        <v>53</v>
      </c>
      <c r="V61" s="135">
        <v>34</v>
      </c>
      <c r="W61" s="134">
        <v>44823</v>
      </c>
      <c r="X61" s="134"/>
      <c r="Y61" s="136">
        <v>27.599999999999998</v>
      </c>
      <c r="Z61" s="137">
        <v>0</v>
      </c>
      <c r="AA61" s="135"/>
      <c r="AB61" s="209"/>
      <c r="AC61" s="220"/>
      <c r="AD61" s="158">
        <v>0.8214285714285714</v>
      </c>
      <c r="AE61" s="165">
        <v>0.24642857142857141</v>
      </c>
      <c r="AF61" s="162"/>
      <c r="AG61" s="163" t="str">
        <f>"            " &amp; TEXT(AE61,"#0.00%") &amp; "/" &amp; TEXT(AD61,"#0.00% ") &amp; ""</f>
        <v xml:space="preserve">            24.64%/82.14% </v>
      </c>
      <c r="AH61" s="163"/>
      <c r="AI61" s="163" t="str">
        <f>"    " &amp; "출퇴근 관리(신규)" &amp; " " &amp; IF(P61="","",TEXT(P61,"M/D-")) &amp; IF(Q61="","",TEXT(Q61,"M/D")) &amp; " "</f>
        <v xml:space="preserve">    출퇴근 관리(신규) 9/19-12/2 </v>
      </c>
      <c r="AJ61" s="163"/>
      <c r="AK61" s="163"/>
    </row>
    <row r="62" spans="1:37" ht="12" customHeight="1" outlineLevel="6">
      <c r="A62" s="132"/>
      <c r="B62" s="132"/>
      <c r="C62" s="132">
        <v>7</v>
      </c>
      <c r="D62" s="159" t="s">
        <v>1985</v>
      </c>
      <c r="E62" s="133"/>
      <c r="F62" s="133"/>
      <c r="G62" s="133"/>
      <c r="H62" s="133"/>
      <c r="I62" s="133"/>
      <c r="J62" s="133"/>
      <c r="K62" s="133" t="s">
        <v>1917</v>
      </c>
      <c r="L62" s="133"/>
      <c r="M62" s="133"/>
      <c r="N62" s="133"/>
      <c r="O62" s="133"/>
      <c r="P62" s="134">
        <v>44823</v>
      </c>
      <c r="Q62" s="134">
        <v>44855</v>
      </c>
      <c r="R62" s="133"/>
      <c r="S62" s="135">
        <v>23</v>
      </c>
      <c r="T62" s="135">
        <v>23</v>
      </c>
      <c r="U62" s="135">
        <v>23</v>
      </c>
      <c r="V62" s="135">
        <v>23</v>
      </c>
      <c r="W62" s="134">
        <v>44823</v>
      </c>
      <c r="X62" s="134">
        <v>44855</v>
      </c>
      <c r="Y62" s="136">
        <v>13.799999999999999</v>
      </c>
      <c r="Z62" s="137">
        <v>0</v>
      </c>
      <c r="AA62" s="135"/>
      <c r="AB62" s="209" t="s">
        <v>1925</v>
      </c>
      <c r="AC62" s="220"/>
      <c r="AD62" s="158">
        <v>1</v>
      </c>
      <c r="AE62" s="164">
        <v>0.6</v>
      </c>
      <c r="AF62" s="162"/>
      <c r="AG62" s="163" t="str">
        <f>"                 " &amp; TEXT(AE62,"#0.00%") &amp; "/" &amp; TEXT(AD62,"#0.00% ") &amp; "" &amp; "연차, 정기휴가(전일, 반일, 경조휴가, 휴일대체휴가, 출산휴가, 선휴가 등 휴가 사용일수 체크 기능 / 팀별, 개인별 설정,, 출퇴근 포함 근태 현황 통계 및 근무일수(시간) 통계 1차" &amp; "(안용성)" &amp; " " &amp; IF(P62="","",TEXT(P62,"M/D-")) &amp; IF(Q62="","",TEXT(Q62,"M/D")) &amp; " "</f>
        <v xml:space="preserve">                 60.00%/100.00% 연차, 정기휴가(전일, 반일, 경조휴가, 휴일대체휴가, 출산휴가, 선휴가 등 휴가 사용일수 체크 기능 / 팀별, 개인별 설정,, 출퇴근 포함 근태 현황 통계 및 근무일수(시간) 통계 1차(안용성) 9/19-10/21 </v>
      </c>
      <c r="AH62" s="163"/>
      <c r="AI62" s="163"/>
      <c r="AJ62" s="163"/>
      <c r="AK62" s="163"/>
    </row>
    <row r="63" spans="1:37" ht="12" customHeight="1" outlineLevel="6">
      <c r="A63" s="132"/>
      <c r="B63" s="132"/>
      <c r="C63" s="132">
        <v>7</v>
      </c>
      <c r="D63" s="159" t="s">
        <v>1986</v>
      </c>
      <c r="E63" s="133"/>
      <c r="F63" s="133"/>
      <c r="G63" s="133"/>
      <c r="H63" s="133"/>
      <c r="I63" s="133"/>
      <c r="J63" s="133"/>
      <c r="K63" s="133" t="s">
        <v>1918</v>
      </c>
      <c r="L63" s="133"/>
      <c r="M63" s="133"/>
      <c r="N63" s="133"/>
      <c r="O63" s="133"/>
      <c r="P63" s="134">
        <v>44823</v>
      </c>
      <c r="Q63" s="134">
        <v>44855</v>
      </c>
      <c r="R63" s="133"/>
      <c r="S63" s="135">
        <v>23</v>
      </c>
      <c r="T63" s="135">
        <v>23</v>
      </c>
      <c r="U63" s="135">
        <v>23</v>
      </c>
      <c r="V63" s="135">
        <v>23</v>
      </c>
      <c r="W63" s="134">
        <v>44823</v>
      </c>
      <c r="X63" s="134">
        <v>44855</v>
      </c>
      <c r="Y63" s="136">
        <v>13.799999999999999</v>
      </c>
      <c r="Z63" s="137">
        <v>0</v>
      </c>
      <c r="AA63" s="135"/>
      <c r="AB63" s="209" t="s">
        <v>1925</v>
      </c>
      <c r="AC63" s="220"/>
      <c r="AD63" s="158">
        <v>1</v>
      </c>
      <c r="AE63" s="164">
        <v>0.6</v>
      </c>
      <c r="AF63" s="162"/>
      <c r="AG63" s="163" t="str">
        <f>"                 " &amp; TEXT(AE63,"#0.00%") &amp; "/" &amp; TEXT(AD63,"#0.00% ") &amp; "" &amp; "출퇴근 통계 관리 1차" &amp; "(안용성)" &amp; " " &amp; IF(P63="","",TEXT(P63,"M/D-")) &amp; IF(Q63="","",TEXT(Q63,"M/D")) &amp; " "</f>
        <v xml:space="preserve">                 60.00%/100.00% 출퇴근 통계 관리 1차(안용성) 9/19-10/21 </v>
      </c>
      <c r="AH63" s="163"/>
      <c r="AI63" s="163"/>
      <c r="AJ63" s="163"/>
      <c r="AK63" s="163"/>
    </row>
    <row r="64" spans="1:37" ht="12" customHeight="1" outlineLevel="6">
      <c r="A64" s="132"/>
      <c r="B64" s="132"/>
      <c r="C64" s="132">
        <v>7</v>
      </c>
      <c r="D64" s="159" t="s">
        <v>1987</v>
      </c>
      <c r="E64" s="133"/>
      <c r="F64" s="133"/>
      <c r="G64" s="133"/>
      <c r="H64" s="133"/>
      <c r="I64" s="133"/>
      <c r="J64" s="133"/>
      <c r="K64" s="133" t="s">
        <v>1919</v>
      </c>
      <c r="L64" s="133"/>
      <c r="M64" s="133"/>
      <c r="N64" s="133"/>
      <c r="O64" s="133"/>
      <c r="P64" s="134">
        <v>44823</v>
      </c>
      <c r="Q64" s="134">
        <v>44855</v>
      </c>
      <c r="R64" s="133"/>
      <c r="S64" s="135">
        <v>23</v>
      </c>
      <c r="T64" s="135">
        <v>23</v>
      </c>
      <c r="U64" s="135">
        <v>23</v>
      </c>
      <c r="V64" s="135">
        <v>23</v>
      </c>
      <c r="W64" s="134">
        <v>44823</v>
      </c>
      <c r="X64" s="134">
        <v>44855</v>
      </c>
      <c r="Y64" s="136">
        <v>0</v>
      </c>
      <c r="Z64" s="137">
        <v>0</v>
      </c>
      <c r="AA64" s="135"/>
      <c r="AB64" s="209" t="s">
        <v>1925</v>
      </c>
      <c r="AC64" s="220"/>
      <c r="AD64" s="158">
        <v>1</v>
      </c>
      <c r="AE64" s="164">
        <v>0</v>
      </c>
      <c r="AF64" s="162" t="str">
        <f>"                                      " &amp; TEXT(AE64,"#0.00%") &amp; "/" &amp; TEXT(AD64,"#0.00% ") &amp; "" &amp; "휴가신청서(전자결재 연동) 1차" &amp; "(안용성)" &amp; " " &amp; IF(P64="","",TEXT(P64,"M/D-")) &amp; IF(Q64="","",TEXT(Q64,"M/D")) &amp; " "</f>
        <v xml:space="preserve">                                      0.00%/100.00% 휴가신청서(전자결재 연동) 1차(안용성) 9/19-10/21 </v>
      </c>
      <c r="AG64" s="163"/>
      <c r="AH64" s="163"/>
      <c r="AI64" s="163"/>
      <c r="AJ64" s="163"/>
      <c r="AK64" s="163"/>
    </row>
    <row r="65" spans="1:37" ht="12" customHeight="1" outlineLevel="6">
      <c r="A65" s="132"/>
      <c r="B65" s="132"/>
      <c r="C65" s="132">
        <v>7</v>
      </c>
      <c r="D65" s="159" t="s">
        <v>1988</v>
      </c>
      <c r="E65" s="133"/>
      <c r="F65" s="133"/>
      <c r="G65" s="133"/>
      <c r="H65" s="133"/>
      <c r="I65" s="133"/>
      <c r="J65" s="133"/>
      <c r="K65" s="133" t="s">
        <v>1920</v>
      </c>
      <c r="L65" s="133"/>
      <c r="M65" s="133"/>
      <c r="N65" s="133"/>
      <c r="O65" s="133"/>
      <c r="P65" s="134">
        <v>44823</v>
      </c>
      <c r="Q65" s="134">
        <v>44855</v>
      </c>
      <c r="R65" s="133"/>
      <c r="S65" s="135">
        <v>23</v>
      </c>
      <c r="T65" s="135">
        <v>23</v>
      </c>
      <c r="U65" s="135">
        <v>23</v>
      </c>
      <c r="V65" s="135">
        <v>23</v>
      </c>
      <c r="W65" s="134">
        <v>44823</v>
      </c>
      <c r="X65" s="134">
        <v>44855</v>
      </c>
      <c r="Y65" s="136">
        <v>0</v>
      </c>
      <c r="Z65" s="137">
        <v>0</v>
      </c>
      <c r="AA65" s="135"/>
      <c r="AB65" s="209" t="s">
        <v>1925</v>
      </c>
      <c r="AC65" s="220"/>
      <c r="AD65" s="158">
        <v>1</v>
      </c>
      <c r="AE65" s="164">
        <v>0</v>
      </c>
      <c r="AF65" s="162" t="str">
        <f>"                                      " &amp; TEXT(AE65,"#0.00%") &amp; "/" &amp; TEXT(AD65,"#0.00% ") &amp; "" &amp; "근태 데이터 관리 1차" &amp; "(안용성)" &amp; " " &amp; IF(P65="","",TEXT(P65,"M/D-")) &amp; IF(Q65="","",TEXT(Q65,"M/D")) &amp; " "</f>
        <v xml:space="preserve">                                      0.00%/100.00% 근태 데이터 관리 1차(안용성) 9/19-10/21 </v>
      </c>
      <c r="AG65" s="163"/>
      <c r="AH65" s="163"/>
      <c r="AI65" s="163"/>
      <c r="AJ65" s="163"/>
      <c r="AK65" s="163"/>
    </row>
    <row r="66" spans="1:37" ht="12" customHeight="1" outlineLevel="6">
      <c r="A66" s="132"/>
      <c r="B66" s="132"/>
      <c r="C66" s="132">
        <v>7</v>
      </c>
      <c r="D66" s="159" t="s">
        <v>1989</v>
      </c>
      <c r="E66" s="133"/>
      <c r="F66" s="133"/>
      <c r="G66" s="133"/>
      <c r="H66" s="133"/>
      <c r="I66" s="133"/>
      <c r="J66" s="133"/>
      <c r="K66" s="133" t="s">
        <v>1921</v>
      </c>
      <c r="L66" s="133"/>
      <c r="M66" s="133"/>
      <c r="N66" s="133"/>
      <c r="O66" s="133"/>
      <c r="P66" s="134">
        <v>44893</v>
      </c>
      <c r="Q66" s="134">
        <v>44897</v>
      </c>
      <c r="R66" s="133"/>
      <c r="S66" s="135">
        <v>5</v>
      </c>
      <c r="T66" s="135">
        <v>0</v>
      </c>
      <c r="U66" s="135">
        <v>5</v>
      </c>
      <c r="V66" s="135">
        <v>0</v>
      </c>
      <c r="W66" s="134"/>
      <c r="X66" s="134"/>
      <c r="Y66" s="136">
        <v>0</v>
      </c>
      <c r="Z66" s="137">
        <v>0</v>
      </c>
      <c r="AA66" s="135"/>
      <c r="AB66" s="209" t="s">
        <v>1925</v>
      </c>
      <c r="AC66" s="220"/>
      <c r="AD66" s="158">
        <v>0</v>
      </c>
      <c r="AE66" s="166">
        <v>0</v>
      </c>
      <c r="AF66" s="162"/>
      <c r="AG66" s="163"/>
      <c r="AH66" s="163" t="str">
        <f>"                                                          " &amp; TEXT(AE66,"#0.00%") &amp; "/" &amp; TEXT(AD66,"#0.00% ") &amp; "" &amp; "연차, 정기휴가(전일, 반일, 경조휴가, 휴일대체휴가, 출산휴가, 선휴가 등 휴가 사용일수 체크 기능 / 팀별, 개인별 설정,, 출퇴근 포함 근태 현황 통계 및 근무일수(시간) 통계 2차" &amp; "(안용성)" &amp; " " &amp; IF(P66="","",TEXT(P66,"M/D-")) &amp; IF(Q66="","",TEXT(Q66,"M/D")) &amp; " "</f>
        <v xml:space="preserve">                                                          0.00%/0.00% 연차, 정기휴가(전일, 반일, 경조휴가, 휴일대체휴가, 출산휴가, 선휴가 등 휴가 사용일수 체크 기능 / 팀별, 개인별 설정,, 출퇴근 포함 근태 현황 통계 및 근무일수(시간) 통계 2차(안용성) 11/28-12/2 </v>
      </c>
      <c r="AI66" s="163"/>
      <c r="AJ66" s="163"/>
      <c r="AK66" s="163"/>
    </row>
    <row r="67" spans="1:37" ht="12" customHeight="1" outlineLevel="6">
      <c r="A67" s="132"/>
      <c r="B67" s="132"/>
      <c r="C67" s="132">
        <v>7</v>
      </c>
      <c r="D67" s="159" t="s">
        <v>1990</v>
      </c>
      <c r="E67" s="133"/>
      <c r="F67" s="133"/>
      <c r="G67" s="133"/>
      <c r="H67" s="133"/>
      <c r="I67" s="133"/>
      <c r="J67" s="133"/>
      <c r="K67" s="133" t="s">
        <v>1922</v>
      </c>
      <c r="L67" s="133"/>
      <c r="M67" s="133"/>
      <c r="N67" s="133"/>
      <c r="O67" s="133"/>
      <c r="P67" s="134">
        <v>44893</v>
      </c>
      <c r="Q67" s="134">
        <v>44897</v>
      </c>
      <c r="R67" s="133"/>
      <c r="S67" s="135">
        <v>5</v>
      </c>
      <c r="T67" s="135">
        <v>0</v>
      </c>
      <c r="U67" s="135">
        <v>5</v>
      </c>
      <c r="V67" s="135">
        <v>0</v>
      </c>
      <c r="W67" s="134"/>
      <c r="X67" s="134"/>
      <c r="Y67" s="136">
        <v>0</v>
      </c>
      <c r="Z67" s="137">
        <v>0</v>
      </c>
      <c r="AA67" s="135"/>
      <c r="AB67" s="209" t="s">
        <v>1925</v>
      </c>
      <c r="AC67" s="220"/>
      <c r="AD67" s="158">
        <v>0</v>
      </c>
      <c r="AE67" s="166">
        <v>0</v>
      </c>
      <c r="AF67" s="162"/>
      <c r="AG67" s="163"/>
      <c r="AH67" s="163" t="str">
        <f>"                                                          " &amp; TEXT(AE67,"#0.00%") &amp; "/" &amp; TEXT(AD67,"#0.00% ") &amp; "" &amp; "출퇴근 통계 관리 2차" &amp; "(안용성)" &amp; " " &amp; IF(P67="","",TEXT(P67,"M/D-")) &amp; IF(Q67="","",TEXT(Q67,"M/D")) &amp; " "</f>
        <v xml:space="preserve">                                                          0.00%/0.00% 출퇴근 통계 관리 2차(안용성) 11/28-12/2 </v>
      </c>
      <c r="AI67" s="163"/>
      <c r="AJ67" s="163"/>
      <c r="AK67" s="163"/>
    </row>
    <row r="68" spans="1:37" ht="12" customHeight="1" outlineLevel="6">
      <c r="A68" s="132"/>
      <c r="B68" s="132"/>
      <c r="C68" s="132">
        <v>7</v>
      </c>
      <c r="D68" s="159" t="s">
        <v>1991</v>
      </c>
      <c r="E68" s="133"/>
      <c r="F68" s="133"/>
      <c r="G68" s="133"/>
      <c r="H68" s="133"/>
      <c r="I68" s="133"/>
      <c r="J68" s="133"/>
      <c r="K68" s="133" t="s">
        <v>1923</v>
      </c>
      <c r="L68" s="133"/>
      <c r="M68" s="133"/>
      <c r="N68" s="133"/>
      <c r="O68" s="133"/>
      <c r="P68" s="134">
        <v>44893</v>
      </c>
      <c r="Q68" s="134">
        <v>44897</v>
      </c>
      <c r="R68" s="133"/>
      <c r="S68" s="135">
        <v>5</v>
      </c>
      <c r="T68" s="135">
        <v>0</v>
      </c>
      <c r="U68" s="135">
        <v>5</v>
      </c>
      <c r="V68" s="135">
        <v>0</v>
      </c>
      <c r="W68" s="134"/>
      <c r="X68" s="134"/>
      <c r="Y68" s="136">
        <v>0</v>
      </c>
      <c r="Z68" s="137">
        <v>0</v>
      </c>
      <c r="AA68" s="135"/>
      <c r="AB68" s="209" t="s">
        <v>1925</v>
      </c>
      <c r="AC68" s="220"/>
      <c r="AD68" s="158">
        <v>0</v>
      </c>
      <c r="AE68" s="166">
        <v>0</v>
      </c>
      <c r="AF68" s="162"/>
      <c r="AG68" s="163"/>
      <c r="AH68" s="163" t="str">
        <f>"                                                          " &amp; TEXT(AE68,"#0.00%") &amp; "/" &amp; TEXT(AD68,"#0.00% ") &amp; "" &amp; "휴가신청서(전자결재 연동) 2차" &amp; "(안용성)" &amp; " " &amp; IF(P68="","",TEXT(P68,"M/D-")) &amp; IF(Q68="","",TEXT(Q68,"M/D")) &amp; " "</f>
        <v xml:space="preserve">                                                          0.00%/0.00% 휴가신청서(전자결재 연동) 2차(안용성) 11/28-12/2 </v>
      </c>
      <c r="AI68" s="163"/>
      <c r="AJ68" s="163"/>
      <c r="AK68" s="163"/>
    </row>
    <row r="69" spans="1:37" ht="12" customHeight="1" outlineLevel="6">
      <c r="A69" s="132"/>
      <c r="B69" s="132"/>
      <c r="C69" s="132">
        <v>7</v>
      </c>
      <c r="D69" s="159" t="s">
        <v>1992</v>
      </c>
      <c r="E69" s="133"/>
      <c r="F69" s="133"/>
      <c r="G69" s="133"/>
      <c r="H69" s="133"/>
      <c r="I69" s="133"/>
      <c r="J69" s="133"/>
      <c r="K69" s="133" t="s">
        <v>1924</v>
      </c>
      <c r="L69" s="133"/>
      <c r="M69" s="133"/>
      <c r="N69" s="133"/>
      <c r="O69" s="133"/>
      <c r="P69" s="134">
        <v>44893</v>
      </c>
      <c r="Q69" s="134">
        <v>44897</v>
      </c>
      <c r="R69" s="133"/>
      <c r="S69" s="135">
        <v>5</v>
      </c>
      <c r="T69" s="135">
        <v>0</v>
      </c>
      <c r="U69" s="135">
        <v>5</v>
      </c>
      <c r="V69" s="135">
        <v>0</v>
      </c>
      <c r="W69" s="134"/>
      <c r="X69" s="134"/>
      <c r="Y69" s="136">
        <v>0</v>
      </c>
      <c r="Z69" s="137">
        <v>0</v>
      </c>
      <c r="AA69" s="135"/>
      <c r="AB69" s="209" t="s">
        <v>1925</v>
      </c>
      <c r="AC69" s="220"/>
      <c r="AD69" s="158">
        <v>0</v>
      </c>
      <c r="AE69" s="166">
        <v>0</v>
      </c>
      <c r="AF69" s="162"/>
      <c r="AG69" s="163"/>
      <c r="AH69" s="163" t="str">
        <f>"                                                          " &amp; TEXT(AE69,"#0.00%") &amp; "/" &amp; TEXT(AD69,"#0.00% ") &amp; "" &amp; "근태 데이터 관리 2차" &amp; "(안용성)" &amp; " " &amp; IF(P69="","",TEXT(P69,"M/D-")) &amp; IF(Q69="","",TEXT(Q69,"M/D")) &amp; " "</f>
        <v xml:space="preserve">                                                          0.00%/0.00% 근태 데이터 관리 2차(안용성) 11/28-12/2 </v>
      </c>
      <c r="AI69" s="163"/>
      <c r="AJ69" s="163"/>
      <c r="AK69" s="163"/>
    </row>
    <row r="70" spans="1:37" ht="12" customHeight="1" outlineLevel="5">
      <c r="A70" s="132"/>
      <c r="B70" s="132" t="s">
        <v>1363</v>
      </c>
      <c r="C70" s="132">
        <v>6</v>
      </c>
      <c r="D70" s="159" t="s">
        <v>1993</v>
      </c>
      <c r="E70" s="133"/>
      <c r="F70" s="133"/>
      <c r="G70" s="133"/>
      <c r="H70" s="133"/>
      <c r="I70" s="133"/>
      <c r="J70" s="133" t="s">
        <v>1866</v>
      </c>
      <c r="K70" s="133"/>
      <c r="L70" s="133"/>
      <c r="M70" s="133"/>
      <c r="N70" s="133"/>
      <c r="O70" s="133"/>
      <c r="P70" s="134">
        <v>44845</v>
      </c>
      <c r="Q70" s="134">
        <v>44904</v>
      </c>
      <c r="R70" s="133"/>
      <c r="S70" s="135">
        <v>58</v>
      </c>
      <c r="T70" s="135">
        <v>40</v>
      </c>
      <c r="U70" s="135">
        <v>44</v>
      </c>
      <c r="V70" s="135">
        <v>20</v>
      </c>
      <c r="W70" s="134">
        <v>44845</v>
      </c>
      <c r="X70" s="134"/>
      <c r="Y70" s="136">
        <v>24</v>
      </c>
      <c r="Z70" s="137">
        <v>0</v>
      </c>
      <c r="AA70" s="135"/>
      <c r="AB70" s="209"/>
      <c r="AC70" s="220"/>
      <c r="AD70" s="158">
        <v>0.68965517241379315</v>
      </c>
      <c r="AE70" s="165">
        <v>0.41379310344827586</v>
      </c>
      <c r="AF70" s="162"/>
      <c r="AG70" s="163"/>
      <c r="AH70" s="163" t="str">
        <f>"         " &amp; TEXT(AE70,"#0.00%") &amp; "/" &amp; TEXT(AD70,"#0.00% ") &amp; ""</f>
        <v xml:space="preserve">         41.38%/68.97% </v>
      </c>
      <c r="AI70" s="163" t="str">
        <f>"                   " &amp; "휴가/휴직관리(신규)" &amp; " " &amp; IF(P70="","",TEXT(P70,"M/D-")) &amp; IF(Q70="","",TEXT(Q70,"M/D")) &amp; " "</f>
        <v xml:space="preserve">                   휴가/휴직관리(신규) 10/11-12/9 </v>
      </c>
      <c r="AJ70" s="163"/>
      <c r="AK70" s="163"/>
    </row>
    <row r="71" spans="1:37" ht="12" customHeight="1" outlineLevel="6">
      <c r="A71" s="132"/>
      <c r="B71" s="132"/>
      <c r="C71" s="132">
        <v>7</v>
      </c>
      <c r="D71" s="159" t="s">
        <v>1994</v>
      </c>
      <c r="E71" s="133"/>
      <c r="F71" s="133"/>
      <c r="G71" s="133"/>
      <c r="H71" s="133"/>
      <c r="I71" s="133"/>
      <c r="J71" s="133"/>
      <c r="K71" s="133" t="s">
        <v>1926</v>
      </c>
      <c r="L71" s="133"/>
      <c r="M71" s="133"/>
      <c r="N71" s="133"/>
      <c r="O71" s="133"/>
      <c r="P71" s="134">
        <v>44845</v>
      </c>
      <c r="Q71" s="134">
        <v>44876</v>
      </c>
      <c r="R71" s="133"/>
      <c r="S71" s="135">
        <v>24</v>
      </c>
      <c r="T71" s="135">
        <v>20</v>
      </c>
      <c r="U71" s="135">
        <v>24</v>
      </c>
      <c r="V71" s="135">
        <v>20</v>
      </c>
      <c r="W71" s="134">
        <v>44845</v>
      </c>
      <c r="X71" s="134">
        <v>44876</v>
      </c>
      <c r="Y71" s="136">
        <v>12</v>
      </c>
      <c r="Z71" s="137">
        <v>0</v>
      </c>
      <c r="AA71" s="135"/>
      <c r="AB71" s="209" t="s">
        <v>1925</v>
      </c>
      <c r="AC71" s="220"/>
      <c r="AD71" s="158">
        <v>0.83333333333333337</v>
      </c>
      <c r="AE71" s="164">
        <v>0.5</v>
      </c>
      <c r="AF71" s="162"/>
      <c r="AG71" s="163" t="str">
        <f>"                                                      " &amp; TEXT(AE71,"#0.00%") &amp; "/" &amp; TEXT(AD71,"#0.00% ") &amp; "" &amp; "휴가/휴직상황 1차" &amp; "(안용성)" &amp; " " &amp; IF(P71="","",TEXT(P71,"M/D-")) &amp; IF(Q71="","",TEXT(Q71,"M/D")) &amp; " "</f>
        <v xml:space="preserve">                                                      50.00%/83.33% 휴가/휴직상황 1차(안용성) 10/11-11/11 </v>
      </c>
      <c r="AH71" s="163"/>
      <c r="AI71" s="163"/>
      <c r="AJ71" s="163"/>
      <c r="AK71" s="163"/>
    </row>
    <row r="72" spans="1:37" ht="12" customHeight="1" outlineLevel="6">
      <c r="A72" s="132"/>
      <c r="B72" s="132"/>
      <c r="C72" s="132">
        <v>7</v>
      </c>
      <c r="D72" s="159" t="s">
        <v>1995</v>
      </c>
      <c r="E72" s="133"/>
      <c r="F72" s="133"/>
      <c r="G72" s="133"/>
      <c r="H72" s="133"/>
      <c r="I72" s="133"/>
      <c r="J72" s="133"/>
      <c r="K72" s="133" t="s">
        <v>1927</v>
      </c>
      <c r="L72" s="133"/>
      <c r="M72" s="133"/>
      <c r="N72" s="133"/>
      <c r="O72" s="133"/>
      <c r="P72" s="134">
        <v>44845</v>
      </c>
      <c r="Q72" s="134">
        <v>44876</v>
      </c>
      <c r="R72" s="133"/>
      <c r="S72" s="135">
        <v>24</v>
      </c>
      <c r="T72" s="135">
        <v>20</v>
      </c>
      <c r="U72" s="135">
        <v>24</v>
      </c>
      <c r="V72" s="135">
        <v>20</v>
      </c>
      <c r="W72" s="134">
        <v>44845</v>
      </c>
      <c r="X72" s="134">
        <v>44876</v>
      </c>
      <c r="Y72" s="136">
        <v>12</v>
      </c>
      <c r="Z72" s="137">
        <v>0</v>
      </c>
      <c r="AA72" s="135"/>
      <c r="AB72" s="209" t="s">
        <v>1925</v>
      </c>
      <c r="AC72" s="220"/>
      <c r="AD72" s="158">
        <v>0.83333333333333337</v>
      </c>
      <c r="AE72" s="164">
        <v>0.5</v>
      </c>
      <c r="AF72" s="162"/>
      <c r="AG72" s="163" t="str">
        <f>"                                                      " &amp; TEXT(AE72,"#0.00%") &amp; "/" &amp; TEXT(AD72,"#0.00% ") &amp; "" &amp; "휴가/휴직신청/사용내역 1차" &amp; "(안용성)" &amp; " " &amp; IF(P72="","",TEXT(P72,"M/D-")) &amp; IF(Q72="","",TEXT(Q72,"M/D")) &amp; " "</f>
        <v xml:space="preserve">                                                      50.00%/83.33% 휴가/휴직신청/사용내역 1차(안용성) 10/11-11/11 </v>
      </c>
      <c r="AH72" s="163"/>
      <c r="AI72" s="163"/>
      <c r="AJ72" s="163"/>
      <c r="AK72" s="163"/>
    </row>
    <row r="73" spans="1:37" ht="12" customHeight="1" outlineLevel="6">
      <c r="A73" s="132"/>
      <c r="B73" s="132"/>
      <c r="C73" s="132">
        <v>7</v>
      </c>
      <c r="D73" s="159" t="s">
        <v>1996</v>
      </c>
      <c r="E73" s="133"/>
      <c r="F73" s="133"/>
      <c r="G73" s="133"/>
      <c r="H73" s="133"/>
      <c r="I73" s="133"/>
      <c r="J73" s="133"/>
      <c r="K73" s="133" t="s">
        <v>1928</v>
      </c>
      <c r="L73" s="133"/>
      <c r="M73" s="133"/>
      <c r="N73" s="133"/>
      <c r="O73" s="133"/>
      <c r="P73" s="134">
        <v>44900</v>
      </c>
      <c r="Q73" s="134">
        <v>44904</v>
      </c>
      <c r="R73" s="133"/>
      <c r="S73" s="135">
        <v>5</v>
      </c>
      <c r="T73" s="135">
        <v>0</v>
      </c>
      <c r="U73" s="135">
        <v>5</v>
      </c>
      <c r="V73" s="135">
        <v>0</v>
      </c>
      <c r="W73" s="134"/>
      <c r="X73" s="134"/>
      <c r="Y73" s="136">
        <v>0</v>
      </c>
      <c r="Z73" s="137">
        <v>0</v>
      </c>
      <c r="AA73" s="135"/>
      <c r="AB73" s="209" t="s">
        <v>1925</v>
      </c>
      <c r="AC73" s="220"/>
      <c r="AD73" s="158">
        <v>0</v>
      </c>
      <c r="AE73" s="166">
        <v>0</v>
      </c>
      <c r="AF73" s="162"/>
      <c r="AG73" s="163"/>
      <c r="AH73" s="163"/>
      <c r="AI73" s="163" t="str">
        <f>"        " &amp; TEXT(AE73,"#0.00%") &amp; "/" &amp; TEXT(AD73,"#0.00% ") &amp; "" &amp; "휴가/휴직상황 2차" &amp; "(안용성)" &amp; " " &amp; IF(P73="","",TEXT(P73,"M/D-")) &amp; IF(Q73="","",TEXT(Q73,"M/D")) &amp; " "</f>
        <v xml:space="preserve">        0.00%/0.00% 휴가/휴직상황 2차(안용성) 12/5-12/9 </v>
      </c>
      <c r="AJ73" s="163"/>
      <c r="AK73" s="163"/>
    </row>
    <row r="74" spans="1:37" ht="12" customHeight="1" outlineLevel="6">
      <c r="A74" s="132"/>
      <c r="B74" s="132"/>
      <c r="C74" s="132">
        <v>7</v>
      </c>
      <c r="D74" s="159" t="s">
        <v>1997</v>
      </c>
      <c r="E74" s="133"/>
      <c r="F74" s="133"/>
      <c r="G74" s="133"/>
      <c r="H74" s="133"/>
      <c r="I74" s="133"/>
      <c r="J74" s="133"/>
      <c r="K74" s="133" t="s">
        <v>1929</v>
      </c>
      <c r="L74" s="133"/>
      <c r="M74" s="133"/>
      <c r="N74" s="133"/>
      <c r="O74" s="133"/>
      <c r="P74" s="134">
        <v>44900</v>
      </c>
      <c r="Q74" s="134">
        <v>44904</v>
      </c>
      <c r="R74" s="133"/>
      <c r="S74" s="135">
        <v>5</v>
      </c>
      <c r="T74" s="135">
        <v>0</v>
      </c>
      <c r="U74" s="135">
        <v>5</v>
      </c>
      <c r="V74" s="135">
        <v>0</v>
      </c>
      <c r="W74" s="134"/>
      <c r="X74" s="134"/>
      <c r="Y74" s="136">
        <v>0</v>
      </c>
      <c r="Z74" s="137">
        <v>0</v>
      </c>
      <c r="AA74" s="135"/>
      <c r="AB74" s="209" t="s">
        <v>1925</v>
      </c>
      <c r="AC74" s="220"/>
      <c r="AD74" s="158">
        <v>0</v>
      </c>
      <c r="AE74" s="166">
        <v>0</v>
      </c>
      <c r="AF74" s="162"/>
      <c r="AG74" s="163"/>
      <c r="AH74" s="163"/>
      <c r="AI74" s="163" t="str">
        <f>"        " &amp; TEXT(AE74,"#0.00%") &amp; "/" &amp; TEXT(AD74,"#0.00% ") &amp; "" &amp; "휴가/휴직신청/사용내역 2차" &amp; "(안용성)" &amp; " " &amp; IF(P74="","",TEXT(P74,"M/D-")) &amp; IF(Q74="","",TEXT(Q74,"M/D")) &amp; " "</f>
        <v xml:space="preserve">        0.00%/0.00% 휴가/휴직신청/사용내역 2차(안용성) 12/5-12/9 </v>
      </c>
      <c r="AJ74" s="163"/>
      <c r="AK74" s="163"/>
    </row>
    <row r="75" spans="1:37" ht="12" customHeight="1" outlineLevel="5">
      <c r="A75" s="132"/>
      <c r="B75" s="132" t="s">
        <v>1363</v>
      </c>
      <c r="C75" s="132">
        <v>6</v>
      </c>
      <c r="D75" s="159" t="s">
        <v>1998</v>
      </c>
      <c r="E75" s="133"/>
      <c r="F75" s="133"/>
      <c r="G75" s="133"/>
      <c r="H75" s="133"/>
      <c r="I75" s="133"/>
      <c r="J75" s="133" t="s">
        <v>1867</v>
      </c>
      <c r="K75" s="133"/>
      <c r="L75" s="133"/>
      <c r="M75" s="133"/>
      <c r="N75" s="133"/>
      <c r="O75" s="133"/>
      <c r="P75" s="134">
        <v>44879</v>
      </c>
      <c r="Q75" s="134">
        <v>44911</v>
      </c>
      <c r="R75" s="133"/>
      <c r="S75" s="135">
        <v>45</v>
      </c>
      <c r="T75" s="135">
        <v>0</v>
      </c>
      <c r="U75" s="135">
        <v>25</v>
      </c>
      <c r="V75" s="135">
        <v>0</v>
      </c>
      <c r="W75" s="134">
        <v>44865</v>
      </c>
      <c r="X75" s="134"/>
      <c r="Y75" s="136">
        <v>15</v>
      </c>
      <c r="Z75" s="137">
        <v>0</v>
      </c>
      <c r="AA75" s="135"/>
      <c r="AB75" s="209"/>
      <c r="AC75" s="220"/>
      <c r="AD75" s="158">
        <v>0</v>
      </c>
      <c r="AE75" s="208">
        <v>0.33333333333333331</v>
      </c>
      <c r="AF75" s="162"/>
      <c r="AG75" s="163"/>
      <c r="AH75" s="163" t="str">
        <f>"                     " &amp; TEXT(AE75,"#0.00%") &amp; "/" &amp; TEXT(AD75,"#0.00% ") &amp; ""</f>
        <v xml:space="preserve">                     33.33%/0.00% </v>
      </c>
      <c r="AI75" s="163" t="str">
        <f>"                                 " &amp; "보고/증명서 관리(신규)" &amp; " " &amp; IF(P75="","",TEXT(P75,"M/D-")) &amp; IF(Q75="","",TEXT(Q75,"M/D")) &amp; " "</f>
        <v xml:space="preserve">                                 보고/증명서 관리(신규) 11/14-12/16 </v>
      </c>
      <c r="AJ75" s="163"/>
      <c r="AK75" s="163"/>
    </row>
    <row r="76" spans="1:37" ht="12" customHeight="1" outlineLevel="6">
      <c r="A76" s="132"/>
      <c r="B76" s="132"/>
      <c r="C76" s="132">
        <v>7</v>
      </c>
      <c r="D76" s="159" t="s">
        <v>1999</v>
      </c>
      <c r="E76" s="133"/>
      <c r="F76" s="133"/>
      <c r="G76" s="133"/>
      <c r="H76" s="133"/>
      <c r="I76" s="133"/>
      <c r="J76" s="133"/>
      <c r="K76" s="133" t="s">
        <v>1930</v>
      </c>
      <c r="L76" s="133"/>
      <c r="M76" s="133"/>
      <c r="N76" s="133"/>
      <c r="O76" s="133"/>
      <c r="P76" s="134">
        <v>44879</v>
      </c>
      <c r="Q76" s="134">
        <v>44890</v>
      </c>
      <c r="R76" s="133"/>
      <c r="S76" s="135">
        <v>10</v>
      </c>
      <c r="T76" s="135">
        <v>0</v>
      </c>
      <c r="U76" s="135">
        <v>10</v>
      </c>
      <c r="V76" s="135">
        <v>0</v>
      </c>
      <c r="W76" s="134">
        <v>44865</v>
      </c>
      <c r="X76" s="134"/>
      <c r="Y76" s="136">
        <v>5</v>
      </c>
      <c r="Z76" s="137">
        <v>0</v>
      </c>
      <c r="AA76" s="135"/>
      <c r="AB76" s="209" t="s">
        <v>1925</v>
      </c>
      <c r="AC76" s="220"/>
      <c r="AD76" s="158">
        <v>0</v>
      </c>
      <c r="AE76" s="207">
        <v>0.5</v>
      </c>
      <c r="AF76" s="162"/>
      <c r="AG76" s="163"/>
      <c r="AH76" s="163" t="str">
        <f>"           " &amp; TEXT(AE76,"#0.00%") &amp; "/" &amp; TEXT(AD76,"#0.00% ") &amp; "" &amp; "팀별, 실별 보고 업무 관리 / 통계 1차" &amp; "(안용성)" &amp; " " &amp; IF(P76="","",TEXT(P76,"M/D-")) &amp; IF(Q76="","",TEXT(Q76,"M/D")) &amp; " "</f>
        <v xml:space="preserve">           50.00%/0.00% 팀별, 실별 보고 업무 관리 / 통계 1차(안용성) 11/14-11/25 </v>
      </c>
      <c r="AI76" s="163"/>
      <c r="AJ76" s="163"/>
      <c r="AK76" s="163"/>
    </row>
    <row r="77" spans="1:37" ht="12" customHeight="1" outlineLevel="6">
      <c r="A77" s="132"/>
      <c r="B77" s="132"/>
      <c r="C77" s="132">
        <v>7</v>
      </c>
      <c r="D77" s="159" t="s">
        <v>2000</v>
      </c>
      <c r="E77" s="133"/>
      <c r="F77" s="133"/>
      <c r="G77" s="133"/>
      <c r="H77" s="133"/>
      <c r="I77" s="133"/>
      <c r="J77" s="133"/>
      <c r="K77" s="133" t="s">
        <v>1931</v>
      </c>
      <c r="L77" s="133"/>
      <c r="M77" s="133"/>
      <c r="N77" s="133"/>
      <c r="O77" s="133"/>
      <c r="P77" s="134">
        <v>44879</v>
      </c>
      <c r="Q77" s="134">
        <v>44890</v>
      </c>
      <c r="R77" s="133"/>
      <c r="S77" s="135">
        <v>20</v>
      </c>
      <c r="T77" s="135">
        <v>0</v>
      </c>
      <c r="U77" s="135">
        <v>10</v>
      </c>
      <c r="V77" s="135">
        <v>0</v>
      </c>
      <c r="W77" s="134">
        <v>44865</v>
      </c>
      <c r="X77" s="134"/>
      <c r="Y77" s="136">
        <v>10</v>
      </c>
      <c r="Z77" s="137">
        <v>0</v>
      </c>
      <c r="AA77" s="135"/>
      <c r="AB77" s="209" t="s">
        <v>1934</v>
      </c>
      <c r="AC77" s="220"/>
      <c r="AD77" s="158">
        <v>0</v>
      </c>
      <c r="AE77" s="207">
        <v>0.5</v>
      </c>
      <c r="AF77" s="162"/>
      <c r="AG77" s="163"/>
      <c r="AH77" s="163" t="str">
        <f>"           " &amp; TEXT(AE77,"#0.00%") &amp; "/" &amp; TEXT(AD77,"#0.00% ") &amp; "" &amp; "재직증명서 등 증명서 발행 관리 1차" &amp; "(송빈,안용성)" &amp; " " &amp; IF(P77="","",TEXT(P77,"M/D-")) &amp; IF(Q77="","",TEXT(Q77,"M/D")) &amp; " "</f>
        <v xml:space="preserve">           50.00%/0.00% 재직증명서 등 증명서 발행 관리 1차(송빈,안용성) 11/14-11/25 </v>
      </c>
      <c r="AI77" s="163"/>
      <c r="AJ77" s="163"/>
      <c r="AK77" s="163"/>
    </row>
    <row r="78" spans="1:37" ht="12" customHeight="1" outlineLevel="6">
      <c r="A78" s="132"/>
      <c r="B78" s="132"/>
      <c r="C78" s="132">
        <v>7</v>
      </c>
      <c r="D78" s="159" t="s">
        <v>2001</v>
      </c>
      <c r="E78" s="133"/>
      <c r="F78" s="133"/>
      <c r="G78" s="133"/>
      <c r="H78" s="133"/>
      <c r="I78" s="133"/>
      <c r="J78" s="133"/>
      <c r="K78" s="133" t="s">
        <v>1932</v>
      </c>
      <c r="L78" s="133"/>
      <c r="M78" s="133"/>
      <c r="N78" s="133"/>
      <c r="O78" s="133"/>
      <c r="P78" s="134">
        <v>44907</v>
      </c>
      <c r="Q78" s="134">
        <v>44911</v>
      </c>
      <c r="R78" s="133"/>
      <c r="S78" s="135">
        <v>5</v>
      </c>
      <c r="T78" s="135">
        <v>0</v>
      </c>
      <c r="U78" s="135">
        <v>5</v>
      </c>
      <c r="V78" s="135">
        <v>0</v>
      </c>
      <c r="W78" s="134"/>
      <c r="X78" s="134"/>
      <c r="Y78" s="136">
        <v>0</v>
      </c>
      <c r="Z78" s="137">
        <v>0</v>
      </c>
      <c r="AA78" s="135"/>
      <c r="AB78" s="209" t="s">
        <v>1925</v>
      </c>
      <c r="AC78" s="220"/>
      <c r="AD78" s="158">
        <v>0</v>
      </c>
      <c r="AE78" s="166">
        <v>0</v>
      </c>
      <c r="AF78" s="162"/>
      <c r="AG78" s="163"/>
      <c r="AH78" s="163"/>
      <c r="AI78" s="163" t="str">
        <f>"                       " &amp; TEXT(AE78,"#0.00%") &amp; "/" &amp; TEXT(AD78,"#0.00% ") &amp; "" &amp; "팀별, 실별 보고 업무 관리 / 통계 2차" &amp; "(안용성)" &amp; " " &amp; IF(P78="","",TEXT(P78,"M/D-")) &amp; IF(Q78="","",TEXT(Q78,"M/D")) &amp; " "</f>
        <v xml:space="preserve">                       0.00%/0.00% 팀별, 실별 보고 업무 관리 / 통계 2차(안용성) 12/12-12/16 </v>
      </c>
      <c r="AJ78" s="163"/>
      <c r="AK78" s="163"/>
    </row>
    <row r="79" spans="1:37" ht="12" customHeight="1" outlineLevel="6">
      <c r="A79" s="132"/>
      <c r="B79" s="132"/>
      <c r="C79" s="132">
        <v>7</v>
      </c>
      <c r="D79" s="159" t="s">
        <v>2002</v>
      </c>
      <c r="E79" s="133"/>
      <c r="F79" s="133"/>
      <c r="G79" s="133"/>
      <c r="H79" s="133"/>
      <c r="I79" s="133"/>
      <c r="J79" s="133"/>
      <c r="K79" s="133" t="s">
        <v>1933</v>
      </c>
      <c r="L79" s="133"/>
      <c r="M79" s="133"/>
      <c r="N79" s="133"/>
      <c r="O79" s="133"/>
      <c r="P79" s="134">
        <v>44907</v>
      </c>
      <c r="Q79" s="134">
        <v>44911</v>
      </c>
      <c r="R79" s="133"/>
      <c r="S79" s="135">
        <v>10</v>
      </c>
      <c r="T79" s="135">
        <v>0</v>
      </c>
      <c r="U79" s="135">
        <v>5</v>
      </c>
      <c r="V79" s="135">
        <v>0</v>
      </c>
      <c r="W79" s="134"/>
      <c r="X79" s="134"/>
      <c r="Y79" s="136">
        <v>0</v>
      </c>
      <c r="Z79" s="137">
        <v>0</v>
      </c>
      <c r="AA79" s="135"/>
      <c r="AB79" s="209" t="s">
        <v>1934</v>
      </c>
      <c r="AC79" s="220"/>
      <c r="AD79" s="158">
        <v>0</v>
      </c>
      <c r="AE79" s="166">
        <v>0</v>
      </c>
      <c r="AF79" s="162"/>
      <c r="AG79" s="163"/>
      <c r="AH79" s="163"/>
      <c r="AI79" s="163" t="str">
        <f>"                       " &amp; TEXT(AE79,"#0.00%") &amp; "/" &amp; TEXT(AD79,"#0.00% ") &amp; "" &amp; "재직증명서 등 증명서 발행 관리 2차" &amp; "(송빈,안용성)" &amp; " " &amp; IF(P79="","",TEXT(P79,"M/D-")) &amp; IF(Q79="","",TEXT(Q79,"M/D")) &amp; " "</f>
        <v xml:space="preserve">                       0.00%/0.00% 재직증명서 등 증명서 발행 관리 2차(송빈,안용성) 12/12-12/16 </v>
      </c>
      <c r="AJ79" s="163"/>
      <c r="AK79" s="163"/>
    </row>
    <row r="80" spans="1:37" ht="12" customHeight="1" outlineLevel="5">
      <c r="A80" s="132"/>
      <c r="B80" s="132" t="s">
        <v>1363</v>
      </c>
      <c r="C80" s="132">
        <v>6</v>
      </c>
      <c r="D80" s="159" t="s">
        <v>2003</v>
      </c>
      <c r="E80" s="133"/>
      <c r="F80" s="133"/>
      <c r="G80" s="133"/>
      <c r="H80" s="133"/>
      <c r="I80" s="133"/>
      <c r="J80" s="133" t="s">
        <v>1868</v>
      </c>
      <c r="K80" s="133"/>
      <c r="L80" s="133"/>
      <c r="M80" s="133"/>
      <c r="N80" s="133"/>
      <c r="O80" s="133"/>
      <c r="P80" s="134">
        <v>44886</v>
      </c>
      <c r="Q80" s="134">
        <v>44897</v>
      </c>
      <c r="R80" s="133"/>
      <c r="S80" s="135">
        <v>25</v>
      </c>
      <c r="T80" s="135">
        <v>0</v>
      </c>
      <c r="U80" s="135">
        <v>10</v>
      </c>
      <c r="V80" s="135">
        <v>0</v>
      </c>
      <c r="W80" s="134"/>
      <c r="X80" s="134"/>
      <c r="Y80" s="136">
        <v>0</v>
      </c>
      <c r="Z80" s="137">
        <v>0</v>
      </c>
      <c r="AA80" s="135"/>
      <c r="AB80" s="209"/>
      <c r="AC80" s="220"/>
      <c r="AD80" s="158">
        <v>0</v>
      </c>
      <c r="AE80" s="192">
        <v>0</v>
      </c>
      <c r="AF80" s="162"/>
      <c r="AG80" s="163"/>
      <c r="AH80" s="163" t="str">
        <f>"                                           " &amp; TEXT(AE80,"#0.00%") &amp; "/" &amp; TEXT(AD80,"#0.00% ") &amp; "" &amp; "모바일 (기존 + 신규)" &amp; " " &amp; IF(P80="","",TEXT(P80,"M/D-")) &amp; IF(Q80="","",TEXT(Q80,"M/D")) &amp; " "</f>
        <v xml:space="preserve">                                           0.00%/0.00% 모바일 (기존 + 신규) 11/21-12/2 </v>
      </c>
      <c r="AI80" s="163"/>
      <c r="AJ80" s="163"/>
      <c r="AK80" s="163"/>
    </row>
    <row r="81" spans="1:37" ht="12" customHeight="1" outlineLevel="6">
      <c r="A81" s="132"/>
      <c r="B81" s="132"/>
      <c r="C81" s="132">
        <v>7</v>
      </c>
      <c r="D81" s="159" t="s">
        <v>2004</v>
      </c>
      <c r="E81" s="133"/>
      <c r="F81" s="133"/>
      <c r="G81" s="133"/>
      <c r="H81" s="133"/>
      <c r="I81" s="133"/>
      <c r="J81" s="133"/>
      <c r="K81" s="133" t="s">
        <v>1869</v>
      </c>
      <c r="L81" s="133"/>
      <c r="M81" s="133"/>
      <c r="N81" s="133"/>
      <c r="O81" s="133"/>
      <c r="P81" s="134">
        <v>44893</v>
      </c>
      <c r="Q81" s="134">
        <v>44897</v>
      </c>
      <c r="R81" s="133"/>
      <c r="S81" s="135">
        <v>5</v>
      </c>
      <c r="T81" s="135">
        <v>0</v>
      </c>
      <c r="U81" s="135">
        <v>5</v>
      </c>
      <c r="V81" s="135">
        <v>0</v>
      </c>
      <c r="W81" s="134"/>
      <c r="X81" s="134"/>
      <c r="Y81" s="136">
        <v>0</v>
      </c>
      <c r="Z81" s="137">
        <v>0</v>
      </c>
      <c r="AA81" s="135"/>
      <c r="AB81" s="209" t="s">
        <v>1910</v>
      </c>
      <c r="AC81" s="220"/>
      <c r="AD81" s="158">
        <v>0</v>
      </c>
      <c r="AE81" s="166">
        <v>0</v>
      </c>
      <c r="AF81" s="162"/>
      <c r="AG81" s="163"/>
      <c r="AH81" s="163" t="str">
        <f>"                                                          " &amp; TEXT(AE81,"#0.00%") &amp; "/" &amp; TEXT(AD81,"#0.00% ") &amp; "" &amp; "전자결재, 게시판, 일정 관리, 예약 관리, 구성원 정보, 공지 사항" &amp; "(송빈)" &amp; " " &amp; IF(P81="","",TEXT(P81,"M/D-")) &amp; IF(Q81="","",TEXT(Q81,"M/D")) &amp; " "</f>
        <v xml:space="preserve">                                                          0.00%/0.00% 전자결재, 게시판, 일정 관리, 예약 관리, 구성원 정보, 공지 사항(송빈) 11/28-12/2 </v>
      </c>
      <c r="AI81" s="163"/>
      <c r="AJ81" s="163"/>
      <c r="AK81" s="163"/>
    </row>
    <row r="82" spans="1:37" ht="12" customHeight="1" outlineLevel="6">
      <c r="A82" s="132"/>
      <c r="B82" s="132"/>
      <c r="C82" s="132">
        <v>7</v>
      </c>
      <c r="D82" s="159" t="s">
        <v>2005</v>
      </c>
      <c r="E82" s="133"/>
      <c r="F82" s="133"/>
      <c r="G82" s="133"/>
      <c r="H82" s="133"/>
      <c r="I82" s="133"/>
      <c r="J82" s="133"/>
      <c r="K82" s="133" t="s">
        <v>1865</v>
      </c>
      <c r="L82" s="133"/>
      <c r="M82" s="133"/>
      <c r="N82" s="133"/>
      <c r="O82" s="133"/>
      <c r="P82" s="134">
        <v>44886</v>
      </c>
      <c r="Q82" s="134">
        <v>44897</v>
      </c>
      <c r="R82" s="133"/>
      <c r="S82" s="135">
        <v>10</v>
      </c>
      <c r="T82" s="135">
        <v>0</v>
      </c>
      <c r="U82" s="135">
        <v>10</v>
      </c>
      <c r="V82" s="135">
        <v>0</v>
      </c>
      <c r="W82" s="134"/>
      <c r="X82" s="134"/>
      <c r="Y82" s="136">
        <v>0</v>
      </c>
      <c r="Z82" s="137">
        <v>0</v>
      </c>
      <c r="AA82" s="135"/>
      <c r="AB82" s="209" t="s">
        <v>1925</v>
      </c>
      <c r="AC82" s="220"/>
      <c r="AD82" s="158">
        <v>0</v>
      </c>
      <c r="AE82" s="166">
        <v>0</v>
      </c>
      <c r="AF82" s="162"/>
      <c r="AG82" s="163"/>
      <c r="AH82" s="163" t="str">
        <f>"                                           " &amp; TEXT(AE82,"#0.00%") &amp; "/" &amp; TEXT(AD82,"#0.00% ") &amp; "" &amp; "출퇴근 체크, 출퇴근 제출" &amp; "(안용성)" &amp; " " &amp; IF(P82="","",TEXT(P82,"M/D-")) &amp; IF(Q82="","",TEXT(Q82,"M/D")) &amp; " "</f>
        <v xml:space="preserve">                                           0.00%/0.00% 출퇴근 체크, 출퇴근 제출(안용성) 11/21-12/2 </v>
      </c>
      <c r="AI82" s="163"/>
      <c r="AJ82" s="163"/>
      <c r="AK82" s="163"/>
    </row>
    <row r="83" spans="1:37" ht="12" customHeight="1" outlineLevel="6">
      <c r="A83" s="132"/>
      <c r="B83" s="132"/>
      <c r="C83" s="132">
        <v>7</v>
      </c>
      <c r="D83" s="159" t="s">
        <v>2006</v>
      </c>
      <c r="E83" s="133"/>
      <c r="F83" s="133"/>
      <c r="G83" s="133"/>
      <c r="H83" s="133"/>
      <c r="I83" s="133"/>
      <c r="J83" s="133"/>
      <c r="K83" s="133" t="s">
        <v>1870</v>
      </c>
      <c r="L83" s="133"/>
      <c r="M83" s="133"/>
      <c r="N83" s="133"/>
      <c r="O83" s="133"/>
      <c r="P83" s="134">
        <v>44886</v>
      </c>
      <c r="Q83" s="134">
        <v>44897</v>
      </c>
      <c r="R83" s="133"/>
      <c r="S83" s="135">
        <v>10</v>
      </c>
      <c r="T83" s="135">
        <v>0</v>
      </c>
      <c r="U83" s="135">
        <v>10</v>
      </c>
      <c r="V83" s="135">
        <v>0</v>
      </c>
      <c r="W83" s="134"/>
      <c r="X83" s="134"/>
      <c r="Y83" s="136">
        <v>0</v>
      </c>
      <c r="Z83" s="137">
        <v>0</v>
      </c>
      <c r="AA83" s="135"/>
      <c r="AB83" s="209" t="s">
        <v>1925</v>
      </c>
      <c r="AC83" s="220"/>
      <c r="AD83" s="158">
        <v>0</v>
      </c>
      <c r="AE83" s="166">
        <v>0</v>
      </c>
      <c r="AF83" s="162"/>
      <c r="AG83" s="163"/>
      <c r="AH83" s="163" t="str">
        <f>"                                           " &amp; TEXT(AE83,"#0.00%") &amp; "/" &amp; TEXT(AD83,"#0.00% ") &amp; "" &amp; "업무 보고" &amp; "(안용성)" &amp; " " &amp; IF(P83="","",TEXT(P83,"M/D-")) &amp; IF(Q83="","",TEXT(Q83,"M/D")) &amp; " "</f>
        <v xml:space="preserve">                                           0.00%/0.00% 업무 보고(안용성) 11/21-12/2 </v>
      </c>
      <c r="AI83" s="163"/>
      <c r="AJ83" s="163"/>
      <c r="AK83" s="163"/>
    </row>
    <row r="84" spans="1:37" ht="12" customHeight="1" outlineLevel="4">
      <c r="A84" s="132"/>
      <c r="B84" s="132" t="s">
        <v>1363</v>
      </c>
      <c r="C84" s="132">
        <v>5</v>
      </c>
      <c r="D84" s="159" t="s">
        <v>2007</v>
      </c>
      <c r="E84" s="133"/>
      <c r="F84" s="133"/>
      <c r="G84" s="133"/>
      <c r="H84" s="133"/>
      <c r="I84" s="133" t="s">
        <v>1871</v>
      </c>
      <c r="J84" s="133"/>
      <c r="K84" s="133"/>
      <c r="L84" s="133"/>
      <c r="M84" s="133"/>
      <c r="N84" s="133"/>
      <c r="O84" s="133"/>
      <c r="P84" s="134">
        <v>44907</v>
      </c>
      <c r="Q84" s="134">
        <v>44925</v>
      </c>
      <c r="R84" s="133"/>
      <c r="S84" s="135">
        <v>25</v>
      </c>
      <c r="T84" s="135">
        <v>0</v>
      </c>
      <c r="U84" s="135">
        <v>15</v>
      </c>
      <c r="V84" s="135">
        <v>0</v>
      </c>
      <c r="W84" s="134"/>
      <c r="X84" s="134"/>
      <c r="Y84" s="136">
        <v>0</v>
      </c>
      <c r="Z84" s="137">
        <v>0</v>
      </c>
      <c r="AA84" s="135"/>
      <c r="AB84" s="209"/>
      <c r="AC84" s="220"/>
      <c r="AD84" s="158">
        <v>0</v>
      </c>
      <c r="AE84" s="192">
        <v>0</v>
      </c>
      <c r="AF84" s="162"/>
      <c r="AG84" s="163"/>
      <c r="AH84" s="163"/>
      <c r="AI84" s="163" t="str">
        <f>"                       " &amp; TEXT(AE84,"#0.00%") &amp; "/" &amp; TEXT(AD84,"#0.00% ") &amp; "" &amp; "통합 테스트" &amp; " " &amp; IF(P84="","",TEXT(P84,"M/D-")) &amp; IF(Q84="","",TEXT(Q84,"M/D")) &amp; " "</f>
        <v xml:space="preserve">                       0.00%/0.00% 통합 테스트 12/12-12/30 </v>
      </c>
      <c r="AJ84" s="163"/>
      <c r="AK84" s="163"/>
    </row>
    <row r="85" spans="1:37" ht="12" customHeight="1" outlineLevel="5">
      <c r="A85" s="132"/>
      <c r="B85" s="132"/>
      <c r="C85" s="132">
        <v>6</v>
      </c>
      <c r="D85" s="159" t="s">
        <v>2008</v>
      </c>
      <c r="E85" s="133"/>
      <c r="F85" s="133"/>
      <c r="G85" s="133"/>
      <c r="H85" s="133"/>
      <c r="I85" s="133"/>
      <c r="J85" s="133" t="s">
        <v>1872</v>
      </c>
      <c r="K85" s="133"/>
      <c r="L85" s="133"/>
      <c r="M85" s="133"/>
      <c r="N85" s="133"/>
      <c r="O85" s="133"/>
      <c r="P85" s="134">
        <v>44907</v>
      </c>
      <c r="Q85" s="134">
        <v>44913</v>
      </c>
      <c r="R85" s="133"/>
      <c r="S85" s="135">
        <v>5</v>
      </c>
      <c r="T85" s="135">
        <v>0</v>
      </c>
      <c r="U85" s="135">
        <v>5</v>
      </c>
      <c r="V85" s="135">
        <v>0</v>
      </c>
      <c r="W85" s="134"/>
      <c r="X85" s="134"/>
      <c r="Y85" s="136">
        <v>0</v>
      </c>
      <c r="Z85" s="137">
        <v>0</v>
      </c>
      <c r="AA85" s="135"/>
      <c r="AB85" s="209"/>
      <c r="AC85" s="220" t="s">
        <v>1935</v>
      </c>
      <c r="AD85" s="158">
        <v>0</v>
      </c>
      <c r="AE85" s="166">
        <v>0</v>
      </c>
      <c r="AF85" s="162"/>
      <c r="AG85" s="163"/>
      <c r="AH85" s="163"/>
      <c r="AI85" s="163" t="str">
        <f>"                       " &amp; TEXT(AE85,"#0.00%") &amp; "/" &amp; TEXT(AD85,"#0.00% ") &amp; "" &amp; "준비" &amp; " " &amp; IF(P85="","",TEXT(P85,"M/D-")) &amp; IF(Q85="","",TEXT(Q85,"M/D")) &amp; " "</f>
        <v xml:space="preserve">                       0.00%/0.00% 준비 12/12-12/18 </v>
      </c>
      <c r="AJ85" s="163"/>
      <c r="AK85" s="163"/>
    </row>
    <row r="86" spans="1:37" ht="12" customHeight="1" outlineLevel="5">
      <c r="A86" s="132"/>
      <c r="B86" s="132"/>
      <c r="C86" s="132">
        <v>6</v>
      </c>
      <c r="D86" s="159" t="s">
        <v>2009</v>
      </c>
      <c r="E86" s="133"/>
      <c r="F86" s="133"/>
      <c r="G86" s="133"/>
      <c r="H86" s="133"/>
      <c r="I86" s="133"/>
      <c r="J86" s="133" t="s">
        <v>1873</v>
      </c>
      <c r="K86" s="133"/>
      <c r="L86" s="133"/>
      <c r="M86" s="133"/>
      <c r="N86" s="133"/>
      <c r="O86" s="133"/>
      <c r="P86" s="134">
        <v>44914</v>
      </c>
      <c r="Q86" s="134">
        <v>44925</v>
      </c>
      <c r="R86" s="133"/>
      <c r="S86" s="135">
        <v>10</v>
      </c>
      <c r="T86" s="135">
        <v>0</v>
      </c>
      <c r="U86" s="135">
        <v>10</v>
      </c>
      <c r="V86" s="135">
        <v>0</v>
      </c>
      <c r="W86" s="134"/>
      <c r="X86" s="134"/>
      <c r="Y86" s="136">
        <v>0</v>
      </c>
      <c r="Z86" s="137">
        <v>0</v>
      </c>
      <c r="AA86" s="135"/>
      <c r="AB86" s="209"/>
      <c r="AC86" s="220"/>
      <c r="AD86" s="158">
        <v>0</v>
      </c>
      <c r="AE86" s="166">
        <v>0</v>
      </c>
      <c r="AF86" s="162"/>
      <c r="AG86" s="163"/>
      <c r="AH86" s="163"/>
      <c r="AI86" s="163" t="str">
        <f>"                                     " &amp; TEXT(AE86,"#0.00%") &amp; "/" &amp; TEXT(AD86,"#0.00% ") &amp; "" &amp; "수행" &amp; " " &amp; IF(P86="","",TEXT(P86,"M/D-")) &amp; IF(Q86="","",TEXT(Q86,"M/D")) &amp; " "</f>
        <v xml:space="preserve">                                     0.00%/0.00% 수행 12/19-12/30 </v>
      </c>
      <c r="AJ86" s="163"/>
      <c r="AK86" s="163"/>
    </row>
    <row r="87" spans="1:37" ht="12" customHeight="1" outlineLevel="5">
      <c r="A87" s="132"/>
      <c r="B87" s="132"/>
      <c r="C87" s="132">
        <v>6</v>
      </c>
      <c r="D87" s="159" t="s">
        <v>2010</v>
      </c>
      <c r="E87" s="133"/>
      <c r="F87" s="133"/>
      <c r="G87" s="133"/>
      <c r="H87" s="133"/>
      <c r="I87" s="133"/>
      <c r="J87" s="133" t="s">
        <v>1587</v>
      </c>
      <c r="K87" s="133"/>
      <c r="L87" s="133"/>
      <c r="M87" s="133"/>
      <c r="N87" s="133"/>
      <c r="O87" s="133"/>
      <c r="P87" s="134">
        <v>44914</v>
      </c>
      <c r="Q87" s="134">
        <v>44925</v>
      </c>
      <c r="R87" s="133"/>
      <c r="S87" s="135">
        <v>10</v>
      </c>
      <c r="T87" s="135">
        <v>0</v>
      </c>
      <c r="U87" s="135">
        <v>10</v>
      </c>
      <c r="V87" s="135">
        <v>0</v>
      </c>
      <c r="W87" s="134"/>
      <c r="X87" s="134"/>
      <c r="Y87" s="136">
        <v>0</v>
      </c>
      <c r="Z87" s="137">
        <v>0</v>
      </c>
      <c r="AA87" s="135"/>
      <c r="AB87" s="209"/>
      <c r="AC87" s="220"/>
      <c r="AD87" s="158">
        <v>0</v>
      </c>
      <c r="AE87" s="166">
        <v>0</v>
      </c>
      <c r="AF87" s="162"/>
      <c r="AG87" s="163"/>
      <c r="AH87" s="163"/>
      <c r="AI87" s="163" t="str">
        <f>"                                     " &amp; TEXT(AE87,"#0.00%") &amp; "/" &amp; TEXT(AD87,"#0.00% ") &amp; "" &amp; "평가" &amp; " " &amp; IF(P87="","",TEXT(P87,"M/D-")) &amp; IF(Q87="","",TEXT(Q87,"M/D")) &amp; " "</f>
        <v xml:space="preserve">                                     0.00%/0.00% 평가 12/19-12/30 </v>
      </c>
      <c r="AJ87" s="163"/>
      <c r="AK87" s="163"/>
    </row>
    <row r="88" spans="1:37" ht="12" customHeight="1" outlineLevel="4">
      <c r="A88" s="132"/>
      <c r="B88" s="132" t="s">
        <v>1363</v>
      </c>
      <c r="C88" s="132">
        <v>5</v>
      </c>
      <c r="D88" s="159" t="s">
        <v>2011</v>
      </c>
      <c r="E88" s="133"/>
      <c r="F88" s="133"/>
      <c r="G88" s="133"/>
      <c r="H88" s="133"/>
      <c r="I88" s="133" t="s">
        <v>1874</v>
      </c>
      <c r="J88" s="133"/>
      <c r="K88" s="133"/>
      <c r="L88" s="133"/>
      <c r="M88" s="133"/>
      <c r="N88" s="133"/>
      <c r="O88" s="133"/>
      <c r="P88" s="134">
        <v>44914</v>
      </c>
      <c r="Q88" s="134">
        <v>44925</v>
      </c>
      <c r="R88" s="133"/>
      <c r="S88" s="135">
        <v>30</v>
      </c>
      <c r="T88" s="135">
        <v>0</v>
      </c>
      <c r="U88" s="135">
        <v>10</v>
      </c>
      <c r="V88" s="135">
        <v>0</v>
      </c>
      <c r="W88" s="134"/>
      <c r="X88" s="134"/>
      <c r="Y88" s="136">
        <v>0</v>
      </c>
      <c r="Z88" s="137">
        <v>0</v>
      </c>
      <c r="AA88" s="135"/>
      <c r="AB88" s="209"/>
      <c r="AC88" s="220"/>
      <c r="AD88" s="158">
        <v>0</v>
      </c>
      <c r="AE88" s="192">
        <v>0</v>
      </c>
      <c r="AF88" s="162"/>
      <c r="AG88" s="163"/>
      <c r="AH88" s="163"/>
      <c r="AI88" s="163" t="str">
        <f>"                                     " &amp; TEXT(AE88,"#0.00%") &amp; "/" &amp; TEXT(AD88,"#0.00% ") &amp; "" &amp; "매뉴얼 작성" &amp; " " &amp; IF(P88="","",TEXT(P88,"M/D-")) &amp; IF(Q88="","",TEXT(Q88,"M/D")) &amp; " "</f>
        <v xml:space="preserve">                                     0.00%/0.00% 매뉴얼 작성 12/19-12/30 </v>
      </c>
      <c r="AJ88" s="163"/>
      <c r="AK88" s="163"/>
    </row>
    <row r="89" spans="1:37" ht="12" customHeight="1" outlineLevel="5">
      <c r="A89" s="132"/>
      <c r="B89" s="132"/>
      <c r="C89" s="132">
        <v>6</v>
      </c>
      <c r="D89" s="159" t="s">
        <v>2012</v>
      </c>
      <c r="E89" s="133"/>
      <c r="F89" s="133"/>
      <c r="G89" s="133"/>
      <c r="H89" s="133"/>
      <c r="I89" s="133"/>
      <c r="J89" s="133" t="s">
        <v>1875</v>
      </c>
      <c r="K89" s="133"/>
      <c r="L89" s="133"/>
      <c r="M89" s="133"/>
      <c r="N89" s="133"/>
      <c r="O89" s="133"/>
      <c r="P89" s="134">
        <v>44914</v>
      </c>
      <c r="Q89" s="134">
        <v>44925</v>
      </c>
      <c r="R89" s="133"/>
      <c r="S89" s="135">
        <v>10</v>
      </c>
      <c r="T89" s="135">
        <v>0</v>
      </c>
      <c r="U89" s="135">
        <v>10</v>
      </c>
      <c r="V89" s="135">
        <v>0</v>
      </c>
      <c r="W89" s="134"/>
      <c r="X89" s="134"/>
      <c r="Y89" s="136">
        <v>0</v>
      </c>
      <c r="Z89" s="137">
        <v>0</v>
      </c>
      <c r="AA89" s="135"/>
      <c r="AB89" s="209"/>
      <c r="AC89" s="220"/>
      <c r="AD89" s="158">
        <v>0</v>
      </c>
      <c r="AE89" s="166">
        <v>0</v>
      </c>
      <c r="AF89" s="162"/>
      <c r="AG89" s="163"/>
      <c r="AH89" s="163"/>
      <c r="AI89" s="163" t="str">
        <f>"                                     " &amp; TEXT(AE89,"#0.00%") &amp; "/" &amp; TEXT(AD89,"#0.00% ") &amp; "" &amp; "사용자 매뉴얼" &amp; " " &amp; IF(P89="","",TEXT(P89,"M/D-")) &amp; IF(Q89="","",TEXT(Q89,"M/D")) &amp; " "</f>
        <v xml:space="preserve">                                     0.00%/0.00% 사용자 매뉴얼 12/19-12/30 </v>
      </c>
      <c r="AJ89" s="163"/>
      <c r="AK89" s="163"/>
    </row>
    <row r="90" spans="1:37" ht="12" customHeight="1" outlineLevel="5">
      <c r="A90" s="132"/>
      <c r="B90" s="132"/>
      <c r="C90" s="132">
        <v>6</v>
      </c>
      <c r="D90" s="159" t="s">
        <v>2013</v>
      </c>
      <c r="E90" s="133"/>
      <c r="F90" s="133"/>
      <c r="G90" s="133"/>
      <c r="H90" s="133"/>
      <c r="I90" s="133"/>
      <c r="J90" s="133" t="s">
        <v>1876</v>
      </c>
      <c r="K90" s="133"/>
      <c r="L90" s="133"/>
      <c r="M90" s="133"/>
      <c r="N90" s="133"/>
      <c r="O90" s="133"/>
      <c r="P90" s="134">
        <v>44914</v>
      </c>
      <c r="Q90" s="134">
        <v>44925</v>
      </c>
      <c r="R90" s="133"/>
      <c r="S90" s="135">
        <v>10</v>
      </c>
      <c r="T90" s="135">
        <v>0</v>
      </c>
      <c r="U90" s="135">
        <v>10</v>
      </c>
      <c r="V90" s="135">
        <v>0</v>
      </c>
      <c r="W90" s="134"/>
      <c r="X90" s="134"/>
      <c r="Y90" s="136">
        <v>0</v>
      </c>
      <c r="Z90" s="137">
        <v>0</v>
      </c>
      <c r="AA90" s="135"/>
      <c r="AB90" s="209"/>
      <c r="AC90" s="220"/>
      <c r="AD90" s="158">
        <v>0</v>
      </c>
      <c r="AE90" s="166">
        <v>0</v>
      </c>
      <c r="AF90" s="162"/>
      <c r="AG90" s="163"/>
      <c r="AH90" s="163"/>
      <c r="AI90" s="163" t="str">
        <f>"                                     " &amp; TEXT(AE90,"#0.00%") &amp; "/" &amp; TEXT(AD90,"#0.00% ") &amp; "" &amp; "운영자 매뉴얼" &amp; " " &amp; IF(P90="","",TEXT(P90,"M/D-")) &amp; IF(Q90="","",TEXT(Q90,"M/D")) &amp; " "</f>
        <v xml:space="preserve">                                     0.00%/0.00% 운영자 매뉴얼 12/19-12/30 </v>
      </c>
      <c r="AJ90" s="163"/>
      <c r="AK90" s="163"/>
    </row>
    <row r="91" spans="1:37" ht="12" customHeight="1" outlineLevel="5">
      <c r="A91" s="132"/>
      <c r="B91" s="132"/>
      <c r="C91" s="132">
        <v>6</v>
      </c>
      <c r="D91" s="159" t="s">
        <v>2014</v>
      </c>
      <c r="E91" s="133"/>
      <c r="F91" s="133"/>
      <c r="G91" s="133"/>
      <c r="H91" s="133"/>
      <c r="I91" s="133"/>
      <c r="J91" s="133" t="s">
        <v>1877</v>
      </c>
      <c r="K91" s="133"/>
      <c r="L91" s="133"/>
      <c r="M91" s="133"/>
      <c r="N91" s="133"/>
      <c r="O91" s="133"/>
      <c r="P91" s="134">
        <v>44914</v>
      </c>
      <c r="Q91" s="134">
        <v>44925</v>
      </c>
      <c r="R91" s="133"/>
      <c r="S91" s="135">
        <v>10</v>
      </c>
      <c r="T91" s="135">
        <v>0</v>
      </c>
      <c r="U91" s="135">
        <v>10</v>
      </c>
      <c r="V91" s="135">
        <v>0</v>
      </c>
      <c r="W91" s="134"/>
      <c r="X91" s="134"/>
      <c r="Y91" s="136">
        <v>0</v>
      </c>
      <c r="Z91" s="137">
        <v>0</v>
      </c>
      <c r="AA91" s="135"/>
      <c r="AB91" s="209"/>
      <c r="AC91" s="220"/>
      <c r="AD91" s="158">
        <v>0</v>
      </c>
      <c r="AE91" s="166">
        <v>0</v>
      </c>
      <c r="AF91" s="162"/>
      <c r="AG91" s="163"/>
      <c r="AH91" s="163"/>
      <c r="AI91" s="163" t="str">
        <f>"                                     " &amp; TEXT(AE91,"#0.00%") &amp; "/" &amp; TEXT(AD91,"#0.00% ") &amp; "" &amp; "개발자 매뉴얼" &amp; " " &amp; IF(P91="","",TEXT(P91,"M/D-")) &amp; IF(Q91="","",TEXT(Q91,"M/D")) &amp; " "</f>
        <v xml:space="preserve">                                     0.00%/0.00% 개발자 매뉴얼 12/19-12/30 </v>
      </c>
      <c r="AJ91" s="163"/>
      <c r="AK91" s="163"/>
    </row>
    <row r="92" spans="1:37" ht="12" customHeight="1" outlineLevel="3">
      <c r="A92" s="132"/>
      <c r="B92" s="132" t="s">
        <v>1363</v>
      </c>
      <c r="C92" s="132">
        <v>4</v>
      </c>
      <c r="D92" s="159" t="s">
        <v>1813</v>
      </c>
      <c r="E92" s="133"/>
      <c r="F92" s="133"/>
      <c r="G92" s="133"/>
      <c r="H92" s="133" t="s">
        <v>1878</v>
      </c>
      <c r="I92" s="133"/>
      <c r="J92" s="133"/>
      <c r="K92" s="133"/>
      <c r="L92" s="133"/>
      <c r="M92" s="133"/>
      <c r="N92" s="133"/>
      <c r="O92" s="133"/>
      <c r="P92" s="134">
        <v>44921</v>
      </c>
      <c r="Q92" s="134">
        <v>44939</v>
      </c>
      <c r="R92" s="133"/>
      <c r="S92" s="135">
        <v>40</v>
      </c>
      <c r="T92" s="135">
        <v>0</v>
      </c>
      <c r="U92" s="135">
        <v>15</v>
      </c>
      <c r="V92" s="135">
        <v>0</v>
      </c>
      <c r="W92" s="134"/>
      <c r="X92" s="134"/>
      <c r="Y92" s="136">
        <v>0</v>
      </c>
      <c r="Z92" s="137">
        <v>0</v>
      </c>
      <c r="AA92" s="135"/>
      <c r="AB92" s="209"/>
      <c r="AC92" s="220"/>
      <c r="AD92" s="158">
        <v>0</v>
      </c>
      <c r="AE92" s="192">
        <v>0</v>
      </c>
      <c r="AF92" s="162"/>
      <c r="AG92" s="163"/>
      <c r="AH92" s="163"/>
      <c r="AI92" s="163" t="str">
        <f>"                                                    " &amp; TEXT(AE92,"#0.00%") &amp; "/" &amp; TEXT(AD92,"#0.00% ") &amp; "" &amp; "이행" &amp; " " &amp; IF(P92="","",TEXT(P92,"M/D-")) &amp; IF(Q92="","",TEXT(Q92,"M/D")) &amp; " "</f>
        <v xml:space="preserve">                                                    0.00%/0.00% 이행 12/26-1/13 </v>
      </c>
      <c r="AJ92" s="163"/>
      <c r="AK92" s="163"/>
    </row>
    <row r="93" spans="1:37" ht="12" customHeight="1" outlineLevel="4">
      <c r="A93" s="132"/>
      <c r="B93" s="132"/>
      <c r="C93" s="132">
        <v>5</v>
      </c>
      <c r="D93" s="159" t="s">
        <v>2015</v>
      </c>
      <c r="E93" s="133"/>
      <c r="F93" s="133"/>
      <c r="G93" s="133"/>
      <c r="H93" s="133"/>
      <c r="I93" s="133" t="s">
        <v>1879</v>
      </c>
      <c r="J93" s="133"/>
      <c r="K93" s="133"/>
      <c r="L93" s="133"/>
      <c r="M93" s="133"/>
      <c r="N93" s="133"/>
      <c r="O93" s="133"/>
      <c r="P93" s="134">
        <v>44921</v>
      </c>
      <c r="Q93" s="134">
        <v>44925</v>
      </c>
      <c r="R93" s="133"/>
      <c r="S93" s="135">
        <v>10</v>
      </c>
      <c r="T93" s="135">
        <v>0</v>
      </c>
      <c r="U93" s="135">
        <v>5</v>
      </c>
      <c r="V93" s="135">
        <v>0</v>
      </c>
      <c r="W93" s="134"/>
      <c r="X93" s="134"/>
      <c r="Y93" s="136">
        <v>0</v>
      </c>
      <c r="Z93" s="137">
        <v>0</v>
      </c>
      <c r="AA93" s="135"/>
      <c r="AB93" s="209" t="s">
        <v>1936</v>
      </c>
      <c r="AC93" s="220"/>
      <c r="AD93" s="158">
        <v>0</v>
      </c>
      <c r="AE93" s="166">
        <v>0</v>
      </c>
      <c r="AF93" s="162"/>
      <c r="AG93" s="163"/>
      <c r="AH93" s="163"/>
      <c r="AI93" s="163" t="str">
        <f>"                                                    " &amp; TEXT(AE93,"#0.00%") &amp; "/" &amp; TEXT(AD93,"#0.00% ") &amp; "" &amp; "이행 계획 수립" &amp; "(장매화,안용성)" &amp; " " &amp; IF(P93="","",TEXT(P93,"M/D-")) &amp; IF(Q93="","",TEXT(Q93,"M/D")) &amp; " "</f>
        <v xml:space="preserve">                                                    0.00%/0.00% 이행 계획 수립(장매화,안용성) 12/26-12/30 </v>
      </c>
      <c r="AJ93" s="163"/>
      <c r="AK93" s="163"/>
    </row>
    <row r="94" spans="1:37" ht="12" customHeight="1" outlineLevel="4">
      <c r="A94" s="132"/>
      <c r="B94" s="132"/>
      <c r="C94" s="132">
        <v>5</v>
      </c>
      <c r="D94" s="159" t="s">
        <v>2016</v>
      </c>
      <c r="E94" s="133"/>
      <c r="F94" s="133"/>
      <c r="G94" s="133"/>
      <c r="H94" s="133"/>
      <c r="I94" s="133" t="s">
        <v>1880</v>
      </c>
      <c r="J94" s="133"/>
      <c r="K94" s="133"/>
      <c r="L94" s="133"/>
      <c r="M94" s="133"/>
      <c r="N94" s="133"/>
      <c r="O94" s="133"/>
      <c r="P94" s="134">
        <v>44921</v>
      </c>
      <c r="Q94" s="134">
        <v>44925</v>
      </c>
      <c r="R94" s="133"/>
      <c r="S94" s="135">
        <v>15</v>
      </c>
      <c r="T94" s="135">
        <v>0</v>
      </c>
      <c r="U94" s="135">
        <v>5</v>
      </c>
      <c r="V94" s="135">
        <v>0</v>
      </c>
      <c r="W94" s="134"/>
      <c r="X94" s="134"/>
      <c r="Y94" s="136">
        <v>0</v>
      </c>
      <c r="Z94" s="137">
        <v>0</v>
      </c>
      <c r="AA94" s="135"/>
      <c r="AB94" s="209" t="s">
        <v>1908</v>
      </c>
      <c r="AC94" s="220"/>
      <c r="AD94" s="158">
        <v>0</v>
      </c>
      <c r="AE94" s="166">
        <v>0</v>
      </c>
      <c r="AF94" s="162"/>
      <c r="AG94" s="163"/>
      <c r="AH94" s="163"/>
      <c r="AI94" s="163" t="str">
        <f>"                                                    " &amp; TEXT(AE94,"#0.00%") &amp; "/" &amp; TEXT(AD94,"#0.00% ") &amp; "" &amp; "Azure 운영환경 전환" &amp; "(송빈,안용성,컴즈)" &amp; " " &amp; IF(P94="","",TEXT(P94,"M/D-")) &amp; IF(Q94="","",TEXT(Q94,"M/D")) &amp; " "</f>
        <v xml:space="preserve">                                                    0.00%/0.00% Azure 운영환경 전환(송빈,안용성,컴즈) 12/26-12/30 </v>
      </c>
      <c r="AJ94" s="163"/>
      <c r="AK94" s="163"/>
    </row>
    <row r="95" spans="1:37" ht="12" customHeight="1" outlineLevel="4">
      <c r="A95" s="132"/>
      <c r="B95" s="132"/>
      <c r="C95" s="132">
        <v>5</v>
      </c>
      <c r="D95" s="159" t="s">
        <v>2017</v>
      </c>
      <c r="E95" s="133"/>
      <c r="F95" s="133"/>
      <c r="G95" s="133"/>
      <c r="H95" s="133"/>
      <c r="I95" s="133" t="s">
        <v>1881</v>
      </c>
      <c r="J95" s="133"/>
      <c r="K95" s="133"/>
      <c r="L95" s="133"/>
      <c r="M95" s="133"/>
      <c r="N95" s="133"/>
      <c r="O95" s="133"/>
      <c r="P95" s="134">
        <v>44921</v>
      </c>
      <c r="Q95" s="134">
        <v>44939</v>
      </c>
      <c r="R95" s="133"/>
      <c r="S95" s="135">
        <v>15</v>
      </c>
      <c r="T95" s="135">
        <v>0</v>
      </c>
      <c r="U95" s="135">
        <v>15</v>
      </c>
      <c r="V95" s="135">
        <v>0</v>
      </c>
      <c r="W95" s="134"/>
      <c r="X95" s="134"/>
      <c r="Y95" s="136">
        <v>0</v>
      </c>
      <c r="Z95" s="137">
        <v>0</v>
      </c>
      <c r="AA95" s="135"/>
      <c r="AB95" s="209"/>
      <c r="AC95" s="220"/>
      <c r="AD95" s="158">
        <v>0</v>
      </c>
      <c r="AE95" s="166">
        <v>0</v>
      </c>
      <c r="AF95" s="162"/>
      <c r="AG95" s="163"/>
      <c r="AH95" s="163"/>
      <c r="AI95" s="163" t="str">
        <f>"                                                    " &amp; TEXT(AE95,"#0.00%") &amp; "/" &amp; TEXT(AD95,"#0.00% ") &amp; "" &amp; "오픈 및 안정화" &amp; " " &amp; IF(P95="","",TEXT(P95,"M/D-")) &amp; IF(Q95="","",TEXT(Q95,"M/D")) &amp; " "</f>
        <v xml:space="preserve">                                                    0.00%/0.00% 오픈 및 안정화 12/26-1/13 </v>
      </c>
      <c r="AJ95" s="163"/>
      <c r="AK95" s="163"/>
    </row>
    <row r="96" spans="1:37" ht="12" customHeight="1" outlineLevel="1">
      <c r="A96" s="132"/>
      <c r="B96" s="132" t="s">
        <v>1363</v>
      </c>
      <c r="C96" s="132">
        <v>2</v>
      </c>
      <c r="D96" s="159" t="s">
        <v>1454</v>
      </c>
      <c r="E96" s="133"/>
      <c r="F96" s="133" t="s">
        <v>1798</v>
      </c>
      <c r="G96" s="133"/>
      <c r="H96" s="133"/>
      <c r="I96" s="133"/>
      <c r="J96" s="133"/>
      <c r="K96" s="133"/>
      <c r="L96" s="133"/>
      <c r="M96" s="133"/>
      <c r="N96" s="133"/>
      <c r="O96" s="133"/>
      <c r="P96" s="134">
        <v>44809</v>
      </c>
      <c r="Q96" s="134">
        <v>44957</v>
      </c>
      <c r="R96" s="133"/>
      <c r="S96" s="135">
        <v>515</v>
      </c>
      <c r="T96" s="135">
        <v>238</v>
      </c>
      <c r="U96" s="135">
        <v>103</v>
      </c>
      <c r="V96" s="135">
        <v>42</v>
      </c>
      <c r="W96" s="134">
        <v>44809</v>
      </c>
      <c r="X96" s="134"/>
      <c r="Y96" s="136">
        <v>280.99939999999998</v>
      </c>
      <c r="Z96" s="137">
        <v>0</v>
      </c>
      <c r="AA96" s="135"/>
      <c r="AB96" s="209"/>
      <c r="AC96" s="220"/>
      <c r="AD96" s="158">
        <v>0.46213592233009709</v>
      </c>
      <c r="AE96" s="208">
        <v>0.50485320388349508</v>
      </c>
      <c r="AF96" s="162"/>
      <c r="AG96" s="163"/>
      <c r="AH96" s="163" t="str">
        <f>"                                      " &amp; TEXT(AE96,"#0.00%") &amp; "/" &amp; TEXT(AD96,"#0.00% ") &amp; ""</f>
        <v xml:space="preserve">                                      50.49%/46.21% </v>
      </c>
      <c r="AI96" s="163"/>
      <c r="AJ96" s="163"/>
      <c r="AK96" s="163" t="str">
        <f>"" &amp; "HR 프로젝트" &amp; " " &amp; IF(P96="","",TEXT(P96,"M/D-")) &amp; IF(Q96="","",TEXT(Q96,"M/D")) &amp; " "</f>
        <v xml:space="preserve">HR 프로젝트 9/5-1/31 </v>
      </c>
    </row>
    <row r="97" spans="1:37" ht="12" customHeight="1" outlineLevel="2">
      <c r="A97" s="132"/>
      <c r="B97" s="132" t="s">
        <v>1363</v>
      </c>
      <c r="C97" s="132">
        <v>3</v>
      </c>
      <c r="D97" s="159" t="s">
        <v>1450</v>
      </c>
      <c r="E97" s="133"/>
      <c r="F97" s="133"/>
      <c r="G97" s="133" t="s">
        <v>1495</v>
      </c>
      <c r="H97" s="133"/>
      <c r="I97" s="133"/>
      <c r="J97" s="133"/>
      <c r="K97" s="133"/>
      <c r="L97" s="133"/>
      <c r="M97" s="133"/>
      <c r="N97" s="133"/>
      <c r="O97" s="133"/>
      <c r="P97" s="134">
        <v>44809</v>
      </c>
      <c r="Q97" s="134">
        <v>44925</v>
      </c>
      <c r="R97" s="133"/>
      <c r="S97" s="135">
        <v>81</v>
      </c>
      <c r="T97" s="135">
        <v>42</v>
      </c>
      <c r="U97" s="135">
        <v>81</v>
      </c>
      <c r="V97" s="135">
        <v>42</v>
      </c>
      <c r="W97" s="134">
        <v>44809</v>
      </c>
      <c r="X97" s="134"/>
      <c r="Y97" s="136">
        <v>41.9968</v>
      </c>
      <c r="Z97" s="137">
        <v>0</v>
      </c>
      <c r="AA97" s="135"/>
      <c r="AB97" s="209" t="s">
        <v>1618</v>
      </c>
      <c r="AC97" s="220"/>
      <c r="AD97" s="158">
        <v>0.51851851851851849</v>
      </c>
      <c r="AE97" s="165">
        <v>0.51847901234567906</v>
      </c>
      <c r="AF97" s="162"/>
      <c r="AG97" s="163"/>
      <c r="AH97" s="163" t="str">
        <f>"         " &amp; TEXT(AE97,"#0.00%") &amp; "/" &amp; TEXT(AD97,"#0.00% ") &amp; ""</f>
        <v xml:space="preserve">         51.85%/51.85% </v>
      </c>
      <c r="AI97" s="163" t="str">
        <f>"                                                              " &amp; "요구사항분석" &amp; "(윤창민)" &amp; " " &amp; IF(P97="","",TEXT(P97,"M/D-")) &amp; IF(Q97="","",TEXT(Q97,"M/D")) &amp; " "</f>
        <v xml:space="preserve">                                                              요구사항분석(윤창민) 9/5-12/30 </v>
      </c>
      <c r="AJ97" s="163"/>
      <c r="AK97" s="163"/>
    </row>
    <row r="98" spans="1:37" ht="12" customHeight="1" outlineLevel="3">
      <c r="A98" s="132"/>
      <c r="B98" s="132"/>
      <c r="C98" s="132">
        <v>4</v>
      </c>
      <c r="D98" s="159" t="s">
        <v>1849</v>
      </c>
      <c r="E98" s="133"/>
      <c r="F98" s="133"/>
      <c r="G98" s="133"/>
      <c r="H98" s="133" t="s">
        <v>1495</v>
      </c>
      <c r="I98" s="133"/>
      <c r="J98" s="133"/>
      <c r="K98" s="133"/>
      <c r="L98" s="133"/>
      <c r="M98" s="133"/>
      <c r="N98" s="133"/>
      <c r="O98" s="133"/>
      <c r="P98" s="134">
        <v>44809</v>
      </c>
      <c r="Q98" s="134">
        <v>44817</v>
      </c>
      <c r="R98" s="133"/>
      <c r="S98" s="135">
        <v>5</v>
      </c>
      <c r="T98" s="135">
        <v>5</v>
      </c>
      <c r="U98" s="135">
        <v>5</v>
      </c>
      <c r="V98" s="135">
        <v>5</v>
      </c>
      <c r="W98" s="134">
        <v>44809</v>
      </c>
      <c r="X98" s="134">
        <v>44817</v>
      </c>
      <c r="Y98" s="136">
        <v>5</v>
      </c>
      <c r="Z98" s="137">
        <v>5</v>
      </c>
      <c r="AA98" s="135"/>
      <c r="AB98" s="209" t="s">
        <v>1618</v>
      </c>
      <c r="AC98" s="220"/>
      <c r="AD98" s="158">
        <v>1</v>
      </c>
      <c r="AE98" s="166">
        <v>1</v>
      </c>
      <c r="AF98" s="162" t="str">
        <f>"                            " &amp; TEXT(AE98,"#0.00%") &amp; "/" &amp; TEXT(AD98,"#0.00% ") &amp; "" &amp; "요구사항분석" &amp; "(윤창민)" &amp; " " &amp; IF(P98="","",TEXT(P98,"M/D-")) &amp; IF(Q98="","",TEXT(Q98,"M/D")) &amp; " "</f>
        <v xml:space="preserve">                            100.00%/100.00% 요구사항분석(윤창민) 9/5-9/13 </v>
      </c>
      <c r="AG98" s="163"/>
      <c r="AH98" s="163"/>
      <c r="AI98" s="163"/>
      <c r="AJ98" s="163"/>
      <c r="AK98" s="163"/>
    </row>
    <row r="99" spans="1:37" ht="12" customHeight="1" outlineLevel="3">
      <c r="A99" s="132"/>
      <c r="B99" s="132"/>
      <c r="C99" s="132">
        <v>4</v>
      </c>
      <c r="D99" s="159" t="s">
        <v>1850</v>
      </c>
      <c r="E99" s="133"/>
      <c r="F99" s="133"/>
      <c r="G99" s="133"/>
      <c r="H99" s="133" t="s">
        <v>1496</v>
      </c>
      <c r="I99" s="133"/>
      <c r="J99" s="133"/>
      <c r="K99" s="133"/>
      <c r="L99" s="133"/>
      <c r="M99" s="133"/>
      <c r="N99" s="133"/>
      <c r="O99" s="133"/>
      <c r="P99" s="134">
        <v>44818</v>
      </c>
      <c r="Q99" s="134">
        <v>44925</v>
      </c>
      <c r="R99" s="133"/>
      <c r="S99" s="135">
        <v>76</v>
      </c>
      <c r="T99" s="135">
        <v>37</v>
      </c>
      <c r="U99" s="135">
        <v>76</v>
      </c>
      <c r="V99" s="135">
        <v>37</v>
      </c>
      <c r="W99" s="134">
        <v>44818</v>
      </c>
      <c r="X99" s="134"/>
      <c r="Y99" s="136">
        <v>36.9968</v>
      </c>
      <c r="Z99" s="137">
        <v>0</v>
      </c>
      <c r="AA99" s="135"/>
      <c r="AB99" s="209" t="s">
        <v>1618</v>
      </c>
      <c r="AC99" s="220"/>
      <c r="AD99" s="158">
        <v>0.48684210526315791</v>
      </c>
      <c r="AE99" s="164">
        <v>0.48680000000000001</v>
      </c>
      <c r="AF99" s="162"/>
      <c r="AG99" s="163"/>
      <c r="AH99" s="163" t="str">
        <f>"           " &amp; TEXT(AE99,"#0.00%") &amp; "/" &amp; TEXT(AD99,"#0.00% ") &amp; ""</f>
        <v xml:space="preserve">           48.68%/48.68% </v>
      </c>
      <c r="AI99" s="163" t="str">
        <f>"                                                              " &amp; "변화관리" &amp; "(윤창민)" &amp; " " &amp; IF(P99="","",TEXT(P99,"M/D-")) &amp; IF(Q99="","",TEXT(Q99,"M/D")) &amp; " "</f>
        <v xml:space="preserve">                                                              변화관리(윤창민) 9/14-12/30 </v>
      </c>
      <c r="AJ99" s="163"/>
      <c r="AK99" s="163"/>
    </row>
    <row r="100" spans="1:37" ht="12" customHeight="1" outlineLevel="2">
      <c r="A100" s="132"/>
      <c r="B100" s="132" t="s">
        <v>1363</v>
      </c>
      <c r="C100" s="132">
        <v>3</v>
      </c>
      <c r="D100" s="159" t="s">
        <v>1451</v>
      </c>
      <c r="E100" s="133"/>
      <c r="F100" s="133"/>
      <c r="G100" s="133" t="s">
        <v>1497</v>
      </c>
      <c r="H100" s="133"/>
      <c r="I100" s="133"/>
      <c r="J100" s="133"/>
      <c r="K100" s="133"/>
      <c r="L100" s="133"/>
      <c r="M100" s="133"/>
      <c r="N100" s="133"/>
      <c r="O100" s="133"/>
      <c r="P100" s="134">
        <v>44818</v>
      </c>
      <c r="Q100" s="134">
        <v>44925</v>
      </c>
      <c r="R100" s="133"/>
      <c r="S100" s="135">
        <v>76</v>
      </c>
      <c r="T100" s="135">
        <v>37</v>
      </c>
      <c r="U100" s="135">
        <v>76</v>
      </c>
      <c r="V100" s="135">
        <v>37</v>
      </c>
      <c r="W100" s="134">
        <v>44818</v>
      </c>
      <c r="X100" s="134"/>
      <c r="Y100" s="136">
        <v>37.002600000000001</v>
      </c>
      <c r="Z100" s="137">
        <v>0</v>
      </c>
      <c r="AA100" s="135"/>
      <c r="AB100" s="209" t="s">
        <v>1618</v>
      </c>
      <c r="AC100" s="220"/>
      <c r="AD100" s="158">
        <v>0.48684210526315791</v>
      </c>
      <c r="AE100" s="208">
        <v>0.48687631578947371</v>
      </c>
      <c r="AF100" s="162"/>
      <c r="AG100" s="163"/>
      <c r="AH100" s="163" t="str">
        <f>"           " &amp; TEXT(AE100,"#0.00%") &amp; "/" &amp; TEXT(AD100,"#0.00% ") &amp; ""</f>
        <v xml:space="preserve">           48.69%/48.68% </v>
      </c>
      <c r="AI100" s="163" t="str">
        <f>"                                                              " &amp; "기획" &amp; "(윤창민)" &amp; " " &amp; IF(P100="","",TEXT(P100,"M/D-")) &amp; IF(Q100="","",TEXT(Q100,"M/D")) &amp; " "</f>
        <v xml:space="preserve">                                                              기획(윤창민) 9/14-12/30 </v>
      </c>
      <c r="AJ100" s="163"/>
      <c r="AK100" s="163"/>
    </row>
    <row r="101" spans="1:37" ht="12" customHeight="1" outlineLevel="3">
      <c r="A101" s="132"/>
      <c r="B101" s="132"/>
      <c r="C101" s="132">
        <v>4</v>
      </c>
      <c r="D101" s="159" t="s">
        <v>1851</v>
      </c>
      <c r="E101" s="133"/>
      <c r="F101" s="133"/>
      <c r="G101" s="133"/>
      <c r="H101" s="133" t="s">
        <v>1498</v>
      </c>
      <c r="I101" s="133"/>
      <c r="J101" s="133"/>
      <c r="K101" s="133"/>
      <c r="L101" s="133"/>
      <c r="M101" s="133"/>
      <c r="N101" s="133"/>
      <c r="O101" s="133"/>
      <c r="P101" s="134">
        <v>44818</v>
      </c>
      <c r="Q101" s="134">
        <v>44820</v>
      </c>
      <c r="R101" s="133"/>
      <c r="S101" s="135">
        <v>3</v>
      </c>
      <c r="T101" s="135">
        <v>3</v>
      </c>
      <c r="U101" s="135">
        <v>3</v>
      </c>
      <c r="V101" s="135">
        <v>3</v>
      </c>
      <c r="W101" s="134">
        <v>44818</v>
      </c>
      <c r="X101" s="134">
        <v>44820</v>
      </c>
      <c r="Y101" s="136">
        <v>3</v>
      </c>
      <c r="Z101" s="137">
        <v>3</v>
      </c>
      <c r="AA101" s="135"/>
      <c r="AB101" s="209" t="s">
        <v>1618</v>
      </c>
      <c r="AC101" s="220"/>
      <c r="AD101" s="158">
        <v>1</v>
      </c>
      <c r="AE101" s="166">
        <v>1</v>
      </c>
      <c r="AF101" s="162" t="str">
        <f>"                                  " &amp; TEXT(AE101,"#0.00%") &amp; "/" &amp; TEXT(AD101,"#0.00% ") &amp; "" &amp; "IA재구성" &amp; "(윤창민)" &amp; " " &amp; IF(P101="","",TEXT(P101,"M/D-")) &amp; IF(Q101="","",TEXT(Q101,"M/D")) &amp; " "</f>
        <v xml:space="preserve">                                  100.00%/100.00% IA재구성(윤창민) 9/14-9/16 </v>
      </c>
      <c r="AG101" s="163"/>
      <c r="AH101" s="163"/>
      <c r="AI101" s="163"/>
      <c r="AJ101" s="163"/>
      <c r="AK101" s="163"/>
    </row>
    <row r="102" spans="1:37" ht="12" customHeight="1" outlineLevel="3">
      <c r="A102" s="132" t="s">
        <v>2171</v>
      </c>
      <c r="B102" s="132"/>
      <c r="C102" s="132">
        <v>4</v>
      </c>
      <c r="D102" s="159" t="s">
        <v>1852</v>
      </c>
      <c r="E102" s="133"/>
      <c r="F102" s="133"/>
      <c r="G102" s="133"/>
      <c r="H102" s="133" t="s">
        <v>1499</v>
      </c>
      <c r="I102" s="133"/>
      <c r="J102" s="133"/>
      <c r="K102" s="133"/>
      <c r="L102" s="133"/>
      <c r="M102" s="133"/>
      <c r="N102" s="133"/>
      <c r="O102" s="133"/>
      <c r="P102" s="134">
        <v>44823</v>
      </c>
      <c r="Q102" s="134">
        <v>44827</v>
      </c>
      <c r="R102" s="133"/>
      <c r="S102" s="135">
        <v>5</v>
      </c>
      <c r="T102" s="135">
        <v>5</v>
      </c>
      <c r="U102" s="135">
        <v>5</v>
      </c>
      <c r="V102" s="135">
        <v>5</v>
      </c>
      <c r="W102" s="134">
        <v>44823</v>
      </c>
      <c r="X102" s="134">
        <v>44827</v>
      </c>
      <c r="Y102" s="136">
        <v>5</v>
      </c>
      <c r="Z102" s="137">
        <v>5</v>
      </c>
      <c r="AA102" s="135"/>
      <c r="AB102" s="209" t="s">
        <v>1618</v>
      </c>
      <c r="AC102" s="220"/>
      <c r="AD102" s="158">
        <v>1</v>
      </c>
      <c r="AE102" s="166">
        <v>1</v>
      </c>
      <c r="AF102" s="162" t="str">
        <f>"                                                 " &amp; TEXT(AE102,"#0.00%") &amp; "/" &amp; TEXT(AD102,"#0.00% ") &amp; "" &amp; "주요페이지" &amp; "(윤창민)" &amp; " " &amp; IF(P102="","",TEXT(P102,"M/D-")) &amp; IF(Q102="","",TEXT(Q102,"M/D")) &amp; " "</f>
        <v xml:space="preserve">                                                 100.00%/100.00% 주요페이지(윤창민) 9/19-9/23 </v>
      </c>
      <c r="AG102" s="163"/>
      <c r="AH102" s="163"/>
      <c r="AI102" s="163"/>
      <c r="AJ102" s="163"/>
      <c r="AK102" s="163"/>
    </row>
    <row r="103" spans="1:37" ht="12" customHeight="1" outlineLevel="3">
      <c r="A103" s="132"/>
      <c r="B103" s="132"/>
      <c r="C103" s="132">
        <v>4</v>
      </c>
      <c r="D103" s="159" t="s">
        <v>1853</v>
      </c>
      <c r="E103" s="133"/>
      <c r="F103" s="133"/>
      <c r="G103" s="133"/>
      <c r="H103" s="133" t="s">
        <v>1500</v>
      </c>
      <c r="I103" s="133"/>
      <c r="J103" s="133"/>
      <c r="K103" s="133"/>
      <c r="L103" s="133"/>
      <c r="M103" s="133"/>
      <c r="N103" s="133"/>
      <c r="O103" s="133"/>
      <c r="P103" s="134">
        <v>44830</v>
      </c>
      <c r="Q103" s="134">
        <v>44852</v>
      </c>
      <c r="R103" s="133"/>
      <c r="S103" s="135">
        <v>15</v>
      </c>
      <c r="T103" s="135">
        <v>15</v>
      </c>
      <c r="U103" s="135">
        <v>15</v>
      </c>
      <c r="V103" s="135">
        <v>15</v>
      </c>
      <c r="W103" s="134">
        <v>44830</v>
      </c>
      <c r="X103" s="134">
        <v>44852</v>
      </c>
      <c r="Y103" s="136">
        <v>15</v>
      </c>
      <c r="Z103" s="137">
        <v>15</v>
      </c>
      <c r="AA103" s="135"/>
      <c r="AB103" s="209" t="s">
        <v>1618</v>
      </c>
      <c r="AC103" s="220"/>
      <c r="AD103" s="158">
        <v>1</v>
      </c>
      <c r="AE103" s="166">
        <v>1</v>
      </c>
      <c r="AF103" s="162"/>
      <c r="AG103" s="163" t="str">
        <f>"                                     " &amp; TEXT(AE103,"#0.00%") &amp; "/" &amp; TEXT(AD103,"#0.00% ") &amp; "" &amp; "상세페이지" &amp; "(윤창민)" &amp; " " &amp; IF(P103="","",TEXT(P103,"M/D-")) &amp; IF(Q103="","",TEXT(Q103,"M/D")) &amp; " "</f>
        <v xml:space="preserve">                                     100.00%/100.00% 상세페이지(윤창민) 9/26-10/18 </v>
      </c>
      <c r="AH103" s="163"/>
      <c r="AI103" s="163"/>
      <c r="AJ103" s="163"/>
      <c r="AK103" s="163"/>
    </row>
    <row r="104" spans="1:37" ht="12" customHeight="1" outlineLevel="3">
      <c r="A104" s="132"/>
      <c r="B104" s="132"/>
      <c r="C104" s="132">
        <v>4</v>
      </c>
      <c r="D104" s="159" t="s">
        <v>1882</v>
      </c>
      <c r="E104" s="133"/>
      <c r="F104" s="133"/>
      <c r="G104" s="133"/>
      <c r="H104" s="133" t="s">
        <v>1501</v>
      </c>
      <c r="I104" s="133"/>
      <c r="J104" s="133"/>
      <c r="K104" s="133"/>
      <c r="L104" s="133"/>
      <c r="M104" s="133"/>
      <c r="N104" s="133"/>
      <c r="O104" s="133"/>
      <c r="P104" s="134">
        <v>44853</v>
      </c>
      <c r="Q104" s="134">
        <v>44925</v>
      </c>
      <c r="R104" s="133"/>
      <c r="S104" s="135">
        <v>53</v>
      </c>
      <c r="T104" s="135">
        <v>14</v>
      </c>
      <c r="U104" s="135">
        <v>53</v>
      </c>
      <c r="V104" s="135">
        <v>14</v>
      </c>
      <c r="W104" s="134">
        <v>44853</v>
      </c>
      <c r="X104" s="134"/>
      <c r="Y104" s="136">
        <v>14.002599999999999</v>
      </c>
      <c r="Z104" s="137">
        <v>0</v>
      </c>
      <c r="AA104" s="135"/>
      <c r="AB104" s="209" t="s">
        <v>1618</v>
      </c>
      <c r="AC104" s="220"/>
      <c r="AD104" s="158">
        <v>0.26415094339622641</v>
      </c>
      <c r="AE104" s="207">
        <v>0.26419999999999999</v>
      </c>
      <c r="AF104" s="162"/>
      <c r="AG104" s="163"/>
      <c r="AH104" s="163" t="str">
        <f>"             " &amp; TEXT(AE104,"#0.00%") &amp; "/" &amp; TEXT(AD104,"#0.00% ") &amp; ""</f>
        <v xml:space="preserve">             26.42%/26.42% </v>
      </c>
      <c r="AI104" s="163" t="str">
        <f>"                                                              " &amp; "변경관리" &amp; "(윤창민)" &amp; " " &amp; IF(P104="","",TEXT(P104,"M/D-")) &amp; IF(Q104="","",TEXT(Q104,"M/D")) &amp; " "</f>
        <v xml:space="preserve">                                                              변경관리(윤창민) 10/19-12/30 </v>
      </c>
      <c r="AJ104" s="163"/>
      <c r="AK104" s="163"/>
    </row>
    <row r="105" spans="1:37" ht="12" customHeight="1" outlineLevel="2">
      <c r="A105" s="132"/>
      <c r="B105" s="132" t="s">
        <v>1363</v>
      </c>
      <c r="C105" s="132">
        <v>3</v>
      </c>
      <c r="D105" s="159" t="s">
        <v>2018</v>
      </c>
      <c r="E105" s="133"/>
      <c r="F105" s="133"/>
      <c r="G105" s="133" t="s">
        <v>1502</v>
      </c>
      <c r="H105" s="133"/>
      <c r="I105" s="133"/>
      <c r="J105" s="133"/>
      <c r="K105" s="133"/>
      <c r="L105" s="133"/>
      <c r="M105" s="133"/>
      <c r="N105" s="133"/>
      <c r="O105" s="133"/>
      <c r="P105" s="134">
        <v>44830</v>
      </c>
      <c r="Q105" s="134">
        <v>44852</v>
      </c>
      <c r="R105" s="133"/>
      <c r="S105" s="135">
        <v>15</v>
      </c>
      <c r="T105" s="135">
        <v>15</v>
      </c>
      <c r="U105" s="135">
        <v>15</v>
      </c>
      <c r="V105" s="135">
        <v>15</v>
      </c>
      <c r="W105" s="134">
        <v>44830</v>
      </c>
      <c r="X105" s="134">
        <v>44852</v>
      </c>
      <c r="Y105" s="136">
        <v>15</v>
      </c>
      <c r="Z105" s="137">
        <v>15</v>
      </c>
      <c r="AA105" s="135"/>
      <c r="AB105" s="209" t="s">
        <v>1619</v>
      </c>
      <c r="AC105" s="220"/>
      <c r="AD105" s="158">
        <v>1</v>
      </c>
      <c r="AE105" s="192">
        <v>1</v>
      </c>
      <c r="AF105" s="162"/>
      <c r="AG105" s="163" t="str">
        <f>"                                     " &amp; TEXT(AE105,"#0.00%") &amp; "/" &amp; TEXT(AD105,"#0.00% ") &amp; "" &amp; "디자인" &amp; "(한수진)" &amp; " " &amp; IF(P105="","",TEXT(P105,"M/D-")) &amp; IF(Q105="","",TEXT(Q105,"M/D")) &amp; " "</f>
        <v xml:space="preserve">                                     100.00%/100.00% 디자인(한수진) 9/26-10/18 </v>
      </c>
      <c r="AH105" s="163"/>
      <c r="AI105" s="163"/>
      <c r="AJ105" s="163"/>
      <c r="AK105" s="163"/>
    </row>
    <row r="106" spans="1:37" ht="12" customHeight="1" outlineLevel="3">
      <c r="A106" s="132"/>
      <c r="B106" s="132"/>
      <c r="C106" s="132">
        <v>4</v>
      </c>
      <c r="D106" s="159" t="s">
        <v>2019</v>
      </c>
      <c r="E106" s="133"/>
      <c r="F106" s="133"/>
      <c r="G106" s="133"/>
      <c r="H106" s="133" t="s">
        <v>1503</v>
      </c>
      <c r="I106" s="133"/>
      <c r="J106" s="133"/>
      <c r="K106" s="133"/>
      <c r="L106" s="133"/>
      <c r="M106" s="133"/>
      <c r="N106" s="133"/>
      <c r="O106" s="133"/>
      <c r="P106" s="134">
        <v>44830</v>
      </c>
      <c r="Q106" s="134">
        <v>44832</v>
      </c>
      <c r="R106" s="133"/>
      <c r="S106" s="135">
        <v>3</v>
      </c>
      <c r="T106" s="135">
        <v>3</v>
      </c>
      <c r="U106" s="135">
        <v>3</v>
      </c>
      <c r="V106" s="135">
        <v>3</v>
      </c>
      <c r="W106" s="134">
        <v>44830</v>
      </c>
      <c r="X106" s="134">
        <v>44832</v>
      </c>
      <c r="Y106" s="136">
        <v>3</v>
      </c>
      <c r="Z106" s="137">
        <v>3</v>
      </c>
      <c r="AA106" s="135"/>
      <c r="AB106" s="209" t="s">
        <v>1619</v>
      </c>
      <c r="AC106" s="220"/>
      <c r="AD106" s="158">
        <v>1</v>
      </c>
      <c r="AE106" s="166">
        <v>1</v>
      </c>
      <c r="AF106" s="162" t="str">
        <f>"                                                            " &amp; TEXT(AE106,"#0.00%") &amp; "/" &amp; TEXT(AD106,"#0.00% ") &amp; "" &amp; "마스터페이지" &amp; "(한수진)" &amp; " " &amp; IF(P106="","",TEXT(P106,"M/D-")) &amp; IF(Q106="","",TEXT(Q106,"M/D")) &amp; " "</f>
        <v xml:space="preserve">                                                            100.00%/100.00% 마스터페이지(한수진) 9/26-9/28 </v>
      </c>
      <c r="AG106" s="163"/>
      <c r="AH106" s="163"/>
      <c r="AI106" s="163"/>
      <c r="AJ106" s="163"/>
      <c r="AK106" s="163"/>
    </row>
    <row r="107" spans="1:37" ht="12" customHeight="1" outlineLevel="3">
      <c r="A107" s="132">
        <v>0</v>
      </c>
      <c r="B107" s="132"/>
      <c r="C107" s="132">
        <v>4</v>
      </c>
      <c r="D107" s="159" t="s">
        <v>2020</v>
      </c>
      <c r="E107" s="133"/>
      <c r="F107" s="133"/>
      <c r="G107" s="133"/>
      <c r="H107" s="133" t="s">
        <v>1504</v>
      </c>
      <c r="I107" s="133"/>
      <c r="J107" s="133"/>
      <c r="K107" s="133"/>
      <c r="L107" s="133"/>
      <c r="M107" s="133"/>
      <c r="N107" s="133"/>
      <c r="O107" s="133"/>
      <c r="P107" s="134">
        <v>44833</v>
      </c>
      <c r="Q107" s="134">
        <v>44834</v>
      </c>
      <c r="R107" s="133"/>
      <c r="S107" s="135">
        <v>2</v>
      </c>
      <c r="T107" s="135">
        <v>2</v>
      </c>
      <c r="U107" s="135">
        <v>2</v>
      </c>
      <c r="V107" s="135">
        <v>2</v>
      </c>
      <c r="W107" s="134">
        <v>44833</v>
      </c>
      <c r="X107" s="134">
        <v>44834</v>
      </c>
      <c r="Y107" s="136">
        <v>2</v>
      </c>
      <c r="Z107" s="137">
        <v>2</v>
      </c>
      <c r="AA107" s="135"/>
      <c r="AB107" s="209" t="s">
        <v>1619</v>
      </c>
      <c r="AC107" s="220"/>
      <c r="AD107" s="158">
        <v>1</v>
      </c>
      <c r="AE107" s="166">
        <v>1</v>
      </c>
      <c r="AF107" s="162"/>
      <c r="AG107" s="163" t="str">
        <f>"" &amp; TEXT(AE107,"#0.00%") &amp; "/" &amp; TEXT(AD107,"#0.00% ") &amp; "" &amp; "디자인시안" &amp; "(한수진)" &amp; " " &amp; IF(P107="","",TEXT(P107,"M/D-")) &amp; IF(Q107="","",TEXT(Q107,"M/D")) &amp; " "</f>
        <v xml:space="preserve">100.00%/100.00% 디자인시안(한수진) 9/29-9/30 </v>
      </c>
      <c r="AH107" s="163"/>
      <c r="AI107" s="163"/>
      <c r="AJ107" s="163"/>
      <c r="AK107" s="163"/>
    </row>
    <row r="108" spans="1:37" ht="12" customHeight="1" outlineLevel="3">
      <c r="A108" s="132"/>
      <c r="B108" s="132"/>
      <c r="C108" s="132">
        <v>4</v>
      </c>
      <c r="D108" s="159" t="s">
        <v>2021</v>
      </c>
      <c r="E108" s="133"/>
      <c r="F108" s="133"/>
      <c r="G108" s="133"/>
      <c r="H108" s="133" t="s">
        <v>1505</v>
      </c>
      <c r="I108" s="133"/>
      <c r="J108" s="133"/>
      <c r="K108" s="133"/>
      <c r="L108" s="133"/>
      <c r="M108" s="133"/>
      <c r="N108" s="133"/>
      <c r="O108" s="133"/>
      <c r="P108" s="134">
        <v>44838</v>
      </c>
      <c r="Q108" s="134">
        <v>44852</v>
      </c>
      <c r="R108" s="133"/>
      <c r="S108" s="135">
        <v>10</v>
      </c>
      <c r="T108" s="135">
        <v>10</v>
      </c>
      <c r="U108" s="135">
        <v>10</v>
      </c>
      <c r="V108" s="135">
        <v>10</v>
      </c>
      <c r="W108" s="134">
        <v>44838</v>
      </c>
      <c r="X108" s="134">
        <v>44852</v>
      </c>
      <c r="Y108" s="136">
        <v>10</v>
      </c>
      <c r="Z108" s="137">
        <v>10</v>
      </c>
      <c r="AA108" s="135"/>
      <c r="AB108" s="209" t="s">
        <v>1619</v>
      </c>
      <c r="AC108" s="220"/>
      <c r="AD108" s="158">
        <v>1</v>
      </c>
      <c r="AE108" s="166">
        <v>1</v>
      </c>
      <c r="AF108" s="162"/>
      <c r="AG108" s="163" t="str">
        <f>"                                     " &amp; TEXT(AE108,"#0.00%") &amp; "/" &amp; TEXT(AD108,"#0.00% ") &amp; "" &amp; "주요 페이지 시안" &amp; "(한수진)" &amp; " " &amp; IF(P108="","",TEXT(P108,"M/D-")) &amp; IF(Q108="","",TEXT(Q108,"M/D")) &amp; " "</f>
        <v xml:space="preserve">                                     100.00%/100.00% 주요 페이지 시안(한수진) 10/4-10/18 </v>
      </c>
      <c r="AH108" s="163"/>
      <c r="AI108" s="163"/>
      <c r="AJ108" s="163"/>
      <c r="AK108" s="163"/>
    </row>
    <row r="109" spans="1:37" ht="12" customHeight="1" outlineLevel="2">
      <c r="A109" s="132"/>
      <c r="B109" s="132" t="s">
        <v>1363</v>
      </c>
      <c r="C109" s="132">
        <v>3</v>
      </c>
      <c r="D109" s="159" t="s">
        <v>2022</v>
      </c>
      <c r="E109" s="133"/>
      <c r="F109" s="133"/>
      <c r="G109" s="133" t="s">
        <v>1506</v>
      </c>
      <c r="H109" s="133"/>
      <c r="I109" s="133"/>
      <c r="J109" s="133"/>
      <c r="K109" s="133"/>
      <c r="L109" s="133"/>
      <c r="M109" s="133"/>
      <c r="N109" s="133"/>
      <c r="O109" s="133"/>
      <c r="P109" s="134">
        <v>44838</v>
      </c>
      <c r="Q109" s="134">
        <v>44895</v>
      </c>
      <c r="R109" s="133"/>
      <c r="S109" s="135">
        <v>40</v>
      </c>
      <c r="T109" s="135">
        <v>24</v>
      </c>
      <c r="U109" s="135">
        <v>41</v>
      </c>
      <c r="V109" s="135">
        <v>24</v>
      </c>
      <c r="W109" s="134">
        <v>44838</v>
      </c>
      <c r="X109" s="134">
        <v>44895</v>
      </c>
      <c r="Y109" s="136">
        <v>40</v>
      </c>
      <c r="Z109" s="137">
        <v>41</v>
      </c>
      <c r="AA109" s="135"/>
      <c r="AB109" s="209" t="s">
        <v>1620</v>
      </c>
      <c r="AC109" s="220"/>
      <c r="AD109" s="158">
        <v>0.6</v>
      </c>
      <c r="AE109" s="208">
        <v>1</v>
      </c>
      <c r="AF109" s="162"/>
      <c r="AG109" s="163"/>
      <c r="AH109" s="163"/>
      <c r="AI109" s="163" t="str">
        <f>"" &amp; TEXT(AE109,"#0.00%") &amp; "/" &amp; TEXT(AD109,"#0.00% ") &amp; "" &amp; "퍼블리싱" &amp; "(조강래)" &amp; " " &amp; IF(P109="","",TEXT(P109,"M/D-")) &amp; IF(Q109="","",TEXT(Q109,"M/D")) &amp; " "</f>
        <v xml:space="preserve">100.00%/60.00% 퍼블리싱(조강래) 10/4-11/30 </v>
      </c>
      <c r="AJ109" s="163"/>
      <c r="AK109" s="163"/>
    </row>
    <row r="110" spans="1:37" ht="12" customHeight="1" outlineLevel="3">
      <c r="A110" s="132"/>
      <c r="B110" s="132" t="s">
        <v>1363</v>
      </c>
      <c r="C110" s="132">
        <v>4</v>
      </c>
      <c r="D110" s="159" t="s">
        <v>2023</v>
      </c>
      <c r="E110" s="133"/>
      <c r="F110" s="133"/>
      <c r="G110" s="133"/>
      <c r="H110" s="133" t="s">
        <v>1507</v>
      </c>
      <c r="I110" s="133"/>
      <c r="J110" s="133"/>
      <c r="K110" s="133"/>
      <c r="L110" s="133"/>
      <c r="M110" s="133"/>
      <c r="N110" s="133"/>
      <c r="O110" s="133"/>
      <c r="P110" s="134">
        <v>44838</v>
      </c>
      <c r="Q110" s="134">
        <v>44839</v>
      </c>
      <c r="R110" s="133"/>
      <c r="S110" s="135">
        <v>2</v>
      </c>
      <c r="T110" s="135">
        <v>2</v>
      </c>
      <c r="U110" s="135">
        <v>2</v>
      </c>
      <c r="V110" s="135">
        <v>2</v>
      </c>
      <c r="W110" s="134">
        <v>44838</v>
      </c>
      <c r="X110" s="134">
        <v>44839</v>
      </c>
      <c r="Y110" s="136">
        <v>2</v>
      </c>
      <c r="Z110" s="137">
        <v>2</v>
      </c>
      <c r="AA110" s="135"/>
      <c r="AB110" s="209" t="s">
        <v>1620</v>
      </c>
      <c r="AC110" s="220"/>
      <c r="AD110" s="158">
        <v>1</v>
      </c>
      <c r="AE110" s="192">
        <v>1</v>
      </c>
      <c r="AF110" s="162"/>
      <c r="AG110" s="163" t="str">
        <f>"          " &amp; TEXT(AE110,"#0.00%") &amp; "/" &amp; TEXT(AD110,"#0.00% ") &amp; "" &amp; "공통(환경설정)" &amp; "(조강래)" &amp; " " &amp; IF(P110="","",TEXT(P110,"M/D-")) &amp; IF(Q110="","",TEXT(Q110,"M/D")) &amp; " "</f>
        <v xml:space="preserve">          100.00%/100.00% 공통(환경설정)(조강래) 10/4-10/5 </v>
      </c>
      <c r="AH110" s="163"/>
      <c r="AI110" s="163"/>
      <c r="AJ110" s="163"/>
      <c r="AK110" s="163"/>
    </row>
    <row r="111" spans="1:37" ht="12" customHeight="1" outlineLevel="4">
      <c r="A111" s="132"/>
      <c r="B111" s="132"/>
      <c r="C111" s="132">
        <v>5</v>
      </c>
      <c r="D111" s="159" t="s">
        <v>2024</v>
      </c>
      <c r="E111" s="133"/>
      <c r="F111" s="133"/>
      <c r="G111" s="133"/>
      <c r="H111" s="133"/>
      <c r="I111" s="133" t="s">
        <v>1508</v>
      </c>
      <c r="J111" s="133"/>
      <c r="K111" s="133"/>
      <c r="L111" s="133"/>
      <c r="M111" s="133"/>
      <c r="N111" s="133"/>
      <c r="O111" s="133"/>
      <c r="P111" s="134">
        <v>44838</v>
      </c>
      <c r="Q111" s="134">
        <v>44839</v>
      </c>
      <c r="R111" s="133"/>
      <c r="S111" s="135">
        <v>2</v>
      </c>
      <c r="T111" s="135">
        <v>2</v>
      </c>
      <c r="U111" s="135">
        <v>2</v>
      </c>
      <c r="V111" s="135">
        <v>2</v>
      </c>
      <c r="W111" s="134">
        <v>44838</v>
      </c>
      <c r="X111" s="134">
        <v>44839</v>
      </c>
      <c r="Y111" s="136">
        <v>2</v>
      </c>
      <c r="Z111" s="137">
        <v>2</v>
      </c>
      <c r="AA111" s="135"/>
      <c r="AB111" s="209" t="s">
        <v>1620</v>
      </c>
      <c r="AC111" s="220"/>
      <c r="AD111" s="158">
        <v>1</v>
      </c>
      <c r="AE111" s="166">
        <v>1</v>
      </c>
      <c r="AF111" s="162"/>
      <c r="AG111" s="163" t="str">
        <f>"          " &amp; TEXT(AE111,"#0.00%") &amp; "/" &amp; TEXT(AD111,"#0.00% ") &amp; "" &amp; "마스터 페이지" &amp; "(조강래)" &amp; " " &amp; IF(P111="","",TEXT(P111,"M/D-")) &amp; IF(Q111="","",TEXT(Q111,"M/D")) &amp; " "</f>
        <v xml:space="preserve">          100.00%/100.00% 마스터 페이지(조강래) 10/4-10/5 </v>
      </c>
      <c r="AH111" s="163"/>
      <c r="AI111" s="163"/>
      <c r="AJ111" s="163"/>
      <c r="AK111" s="163"/>
    </row>
    <row r="112" spans="1:37" ht="12" customHeight="1" outlineLevel="3">
      <c r="A112" s="132">
        <v>0</v>
      </c>
      <c r="B112" s="132" t="s">
        <v>1363</v>
      </c>
      <c r="C112" s="132">
        <v>4</v>
      </c>
      <c r="D112" s="159" t="s">
        <v>2025</v>
      </c>
      <c r="E112" s="133"/>
      <c r="F112" s="133"/>
      <c r="G112" s="133"/>
      <c r="H112" s="133" t="s">
        <v>1499</v>
      </c>
      <c r="I112" s="133"/>
      <c r="J112" s="133"/>
      <c r="K112" s="133"/>
      <c r="L112" s="133"/>
      <c r="M112" s="133"/>
      <c r="N112" s="133"/>
      <c r="O112" s="133"/>
      <c r="P112" s="134">
        <v>44840</v>
      </c>
      <c r="Q112" s="134">
        <v>44873</v>
      </c>
      <c r="R112" s="133"/>
      <c r="S112" s="135">
        <v>23</v>
      </c>
      <c r="T112" s="135">
        <v>22</v>
      </c>
      <c r="U112" s="135">
        <v>23</v>
      </c>
      <c r="V112" s="135">
        <v>22</v>
      </c>
      <c r="W112" s="134">
        <v>44840</v>
      </c>
      <c r="X112" s="134">
        <v>44873</v>
      </c>
      <c r="Y112" s="136">
        <v>23</v>
      </c>
      <c r="Z112" s="137">
        <v>23</v>
      </c>
      <c r="AA112" s="135"/>
      <c r="AB112" s="209" t="s">
        <v>1620</v>
      </c>
      <c r="AC112" s="220"/>
      <c r="AD112" s="158">
        <v>0.95652173913043481</v>
      </c>
      <c r="AE112" s="208">
        <v>1</v>
      </c>
      <c r="AF112" s="162"/>
      <c r="AG112" s="163"/>
      <c r="AH112" s="163" t="str">
        <f>"                 " &amp; TEXT(AE112,"#0.00%") &amp; "/" &amp; TEXT(AD112,"#0.00% ") &amp; "" &amp; "주요페이지" &amp; "(조강래)" &amp; " " &amp; IF(P112="","",TEXT(P112,"M/D-")) &amp; IF(Q112="","",TEXT(Q112,"M/D")) &amp; " "</f>
        <v xml:space="preserve">                 100.00%/95.65% 주요페이지(조강래) 10/6-11/8 </v>
      </c>
      <c r="AI112" s="163"/>
      <c r="AJ112" s="163"/>
      <c r="AK112" s="163"/>
    </row>
    <row r="113" spans="1:37" ht="12" customHeight="1" outlineLevel="4">
      <c r="A113" s="132"/>
      <c r="B113" s="132"/>
      <c r="C113" s="132">
        <v>5</v>
      </c>
      <c r="D113" s="159" t="s">
        <v>2160</v>
      </c>
      <c r="E113" s="133"/>
      <c r="F113" s="133"/>
      <c r="G113" s="133"/>
      <c r="H113" s="133"/>
      <c r="I113" s="133" t="s">
        <v>1509</v>
      </c>
      <c r="J113" s="133"/>
      <c r="K113" s="133"/>
      <c r="L113" s="133"/>
      <c r="M113" s="133"/>
      <c r="N113" s="133"/>
      <c r="O113" s="133"/>
      <c r="P113" s="134">
        <v>44840</v>
      </c>
      <c r="Q113" s="134">
        <v>44851</v>
      </c>
      <c r="R113" s="133"/>
      <c r="S113" s="135">
        <v>7</v>
      </c>
      <c r="T113" s="135">
        <v>7</v>
      </c>
      <c r="U113" s="135">
        <v>7</v>
      </c>
      <c r="V113" s="135">
        <v>7</v>
      </c>
      <c r="W113" s="134">
        <v>44840</v>
      </c>
      <c r="X113" s="134">
        <v>44851</v>
      </c>
      <c r="Y113" s="136">
        <v>7</v>
      </c>
      <c r="Z113" s="137">
        <v>7</v>
      </c>
      <c r="AA113" s="135"/>
      <c r="AB113" s="209" t="s">
        <v>1620</v>
      </c>
      <c r="AC113" s="220"/>
      <c r="AD113" s="158">
        <v>1</v>
      </c>
      <c r="AE113" s="166">
        <v>1</v>
      </c>
      <c r="AF113" s="162"/>
      <c r="AG113" s="163" t="str">
        <f>"                                   " &amp; TEXT(AE113,"#0.00%") &amp; "/" &amp; TEXT(AD113,"#0.00% ") &amp; "" &amp; "채용" &amp; "(조강래)" &amp; " " &amp; IF(P113="","",TEXT(P113,"M/D-")) &amp; IF(Q113="","",TEXT(Q113,"M/D")) &amp; " "</f>
        <v xml:space="preserve">                                   100.00%/100.00% 채용(조강래) 10/6-10/17 </v>
      </c>
      <c r="AH113" s="163"/>
      <c r="AI113" s="163"/>
      <c r="AJ113" s="163"/>
      <c r="AK113" s="163"/>
    </row>
    <row r="114" spans="1:37" ht="12" customHeight="1" outlineLevel="4">
      <c r="A114" s="132"/>
      <c r="B114" s="132"/>
      <c r="C114" s="132">
        <v>5</v>
      </c>
      <c r="D114" s="159" t="s">
        <v>2161</v>
      </c>
      <c r="E114" s="133"/>
      <c r="F114" s="133"/>
      <c r="G114" s="133"/>
      <c r="H114" s="133"/>
      <c r="I114" s="133" t="s">
        <v>1510</v>
      </c>
      <c r="J114" s="133"/>
      <c r="K114" s="133"/>
      <c r="L114" s="133"/>
      <c r="M114" s="133"/>
      <c r="N114" s="133"/>
      <c r="O114" s="133"/>
      <c r="P114" s="134">
        <v>44852</v>
      </c>
      <c r="Q114" s="134">
        <v>44852</v>
      </c>
      <c r="R114" s="133"/>
      <c r="S114" s="135">
        <v>1</v>
      </c>
      <c r="T114" s="135">
        <v>1</v>
      </c>
      <c r="U114" s="135">
        <v>1</v>
      </c>
      <c r="V114" s="135">
        <v>1</v>
      </c>
      <c r="W114" s="134">
        <v>44852</v>
      </c>
      <c r="X114" s="134">
        <v>44852</v>
      </c>
      <c r="Y114" s="136">
        <v>1</v>
      </c>
      <c r="Z114" s="137">
        <v>1</v>
      </c>
      <c r="AA114" s="135"/>
      <c r="AB114" s="209" t="s">
        <v>1620</v>
      </c>
      <c r="AC114" s="220"/>
      <c r="AD114" s="158">
        <v>1</v>
      </c>
      <c r="AE114" s="166">
        <v>1</v>
      </c>
      <c r="AF114" s="162"/>
      <c r="AG114" s="163" t="str">
        <f>"                                     " &amp; TEXT(AE114,"#0.00%") &amp; "/" &amp; TEXT(AD114,"#0.00% ") &amp; "" &amp; "인사" &amp; "(조강래)" &amp; " " &amp; IF(P114="","",TEXT(P114,"M/D-")) &amp; IF(Q114="","",TEXT(Q114,"M/D")) &amp; " "</f>
        <v xml:space="preserve">                                     100.00%/100.00% 인사(조강래) 10/18-10/18 </v>
      </c>
      <c r="AH114" s="163"/>
      <c r="AI114" s="163"/>
      <c r="AJ114" s="163"/>
      <c r="AK114" s="163"/>
    </row>
    <row r="115" spans="1:37" ht="12" customHeight="1" outlineLevel="4">
      <c r="A115" s="132"/>
      <c r="B115" s="132"/>
      <c r="C115" s="132">
        <v>5</v>
      </c>
      <c r="D115" s="159" t="s">
        <v>2162</v>
      </c>
      <c r="E115" s="133"/>
      <c r="F115" s="133"/>
      <c r="G115" s="133"/>
      <c r="H115" s="133"/>
      <c r="I115" s="133" t="s">
        <v>1511</v>
      </c>
      <c r="J115" s="133"/>
      <c r="K115" s="133"/>
      <c r="L115" s="133"/>
      <c r="M115" s="133"/>
      <c r="N115" s="133"/>
      <c r="O115" s="133"/>
      <c r="P115" s="134">
        <v>44853</v>
      </c>
      <c r="Q115" s="134">
        <v>44855</v>
      </c>
      <c r="R115" s="133"/>
      <c r="S115" s="135">
        <v>3</v>
      </c>
      <c r="T115" s="135">
        <v>3</v>
      </c>
      <c r="U115" s="135">
        <v>3</v>
      </c>
      <c r="V115" s="135">
        <v>3</v>
      </c>
      <c r="W115" s="134">
        <v>44853</v>
      </c>
      <c r="X115" s="134">
        <v>44855</v>
      </c>
      <c r="Y115" s="136">
        <v>3</v>
      </c>
      <c r="Z115" s="137">
        <v>3</v>
      </c>
      <c r="AA115" s="135"/>
      <c r="AB115" s="209" t="s">
        <v>1620</v>
      </c>
      <c r="AC115" s="220"/>
      <c r="AD115" s="158">
        <v>1</v>
      </c>
      <c r="AE115" s="166">
        <v>1</v>
      </c>
      <c r="AF115" s="162"/>
      <c r="AG115" s="163" t="str">
        <f>"                                           " &amp; TEXT(AE115,"#0.00%") &amp; "/" &amp; TEXT(AD115,"#0.00% ") &amp; "" &amp; "조직" &amp; "(조강래)" &amp; " " &amp; IF(P115="","",TEXT(P115,"M/D-")) &amp; IF(Q115="","",TEXT(Q115,"M/D")) &amp; " "</f>
        <v xml:space="preserve">                                           100.00%/100.00% 조직(조강래) 10/19-10/21 </v>
      </c>
      <c r="AH115" s="163"/>
      <c r="AI115" s="163"/>
      <c r="AJ115" s="163"/>
      <c r="AK115" s="163"/>
    </row>
    <row r="116" spans="1:37" ht="12" customHeight="1" outlineLevel="4">
      <c r="A116" s="132"/>
      <c r="B116" s="132"/>
      <c r="C116" s="132">
        <v>5</v>
      </c>
      <c r="D116" s="159" t="s">
        <v>2163</v>
      </c>
      <c r="E116" s="133"/>
      <c r="F116" s="133"/>
      <c r="G116" s="133"/>
      <c r="H116" s="133"/>
      <c r="I116" s="133" t="s">
        <v>1512</v>
      </c>
      <c r="J116" s="133"/>
      <c r="K116" s="133"/>
      <c r="L116" s="133"/>
      <c r="M116" s="133"/>
      <c r="N116" s="133"/>
      <c r="O116" s="133"/>
      <c r="P116" s="134">
        <v>44858</v>
      </c>
      <c r="Q116" s="134">
        <v>44860</v>
      </c>
      <c r="R116" s="133"/>
      <c r="S116" s="135">
        <v>3</v>
      </c>
      <c r="T116" s="135">
        <v>3</v>
      </c>
      <c r="U116" s="135">
        <v>3</v>
      </c>
      <c r="V116" s="135">
        <v>3</v>
      </c>
      <c r="W116" s="134">
        <v>44858</v>
      </c>
      <c r="X116" s="134">
        <v>44860</v>
      </c>
      <c r="Y116" s="136">
        <v>3</v>
      </c>
      <c r="Z116" s="137">
        <v>3</v>
      </c>
      <c r="AA116" s="135"/>
      <c r="AB116" s="209" t="s">
        <v>1620</v>
      </c>
      <c r="AC116" s="220"/>
      <c r="AD116" s="158">
        <v>1</v>
      </c>
      <c r="AE116" s="166">
        <v>1</v>
      </c>
      <c r="AF116" s="162"/>
      <c r="AG116" s="163" t="str">
        <f>"                                                      " &amp; TEXT(AE116,"#0.00%") &amp; "/" &amp; TEXT(AD116,"#0.00% ") &amp; "" &amp; "프로젝트" &amp; "(조강래)" &amp; " " &amp; IF(P116="","",TEXT(P116,"M/D-")) &amp; IF(Q116="","",TEXT(Q116,"M/D")) &amp; " "</f>
        <v xml:space="preserve">                                                      100.00%/100.00% 프로젝트(조강래) 10/24-10/26 </v>
      </c>
      <c r="AH116" s="163"/>
      <c r="AI116" s="163"/>
      <c r="AJ116" s="163"/>
      <c r="AK116" s="163"/>
    </row>
    <row r="117" spans="1:37" ht="12" customHeight="1" outlineLevel="4">
      <c r="A117" s="132"/>
      <c r="B117" s="132"/>
      <c r="C117" s="132">
        <v>5</v>
      </c>
      <c r="D117" s="159" t="s">
        <v>2164</v>
      </c>
      <c r="E117" s="133"/>
      <c r="F117" s="133"/>
      <c r="G117" s="133"/>
      <c r="H117" s="133"/>
      <c r="I117" s="133" t="s">
        <v>1513</v>
      </c>
      <c r="J117" s="133"/>
      <c r="K117" s="133"/>
      <c r="L117" s="133"/>
      <c r="M117" s="133"/>
      <c r="N117" s="133"/>
      <c r="O117" s="133"/>
      <c r="P117" s="134">
        <v>44861</v>
      </c>
      <c r="Q117" s="134">
        <v>44865</v>
      </c>
      <c r="R117" s="133"/>
      <c r="S117" s="135">
        <v>3</v>
      </c>
      <c r="T117" s="135">
        <v>3</v>
      </c>
      <c r="U117" s="135">
        <v>3</v>
      </c>
      <c r="V117" s="135">
        <v>3</v>
      </c>
      <c r="W117" s="134">
        <v>44861</v>
      </c>
      <c r="X117" s="134">
        <v>44865</v>
      </c>
      <c r="Y117" s="136">
        <v>3</v>
      </c>
      <c r="Z117" s="137">
        <v>3</v>
      </c>
      <c r="AA117" s="135"/>
      <c r="AB117" s="209" t="s">
        <v>1620</v>
      </c>
      <c r="AC117" s="220"/>
      <c r="AD117" s="158">
        <v>1</v>
      </c>
      <c r="AE117" s="166">
        <v>1</v>
      </c>
      <c r="AF117" s="162"/>
      <c r="AG117" s="163"/>
      <c r="AH117" s="163" t="str">
        <f>"" &amp; TEXT(AE117,"#0.00%") &amp; "/" &amp; TEXT(AD117,"#0.00% ") &amp; "" &amp; "보고서" &amp; "(조강래)" &amp; " " &amp; IF(P117="","",TEXT(P117,"M/D-")) &amp; IF(Q117="","",TEXT(Q117,"M/D")) &amp; " "</f>
        <v xml:space="preserve">100.00%/100.00% 보고서(조강래) 10/27-10/31 </v>
      </c>
      <c r="AI117" s="163"/>
      <c r="AJ117" s="163"/>
      <c r="AK117" s="163"/>
    </row>
    <row r="118" spans="1:37" ht="12" customHeight="1" outlineLevel="4">
      <c r="A118" s="132"/>
      <c r="B118" s="132" t="s">
        <v>1363</v>
      </c>
      <c r="C118" s="132">
        <v>5</v>
      </c>
      <c r="D118" s="159" t="s">
        <v>2165</v>
      </c>
      <c r="E118" s="133"/>
      <c r="F118" s="133"/>
      <c r="G118" s="133"/>
      <c r="H118" s="133"/>
      <c r="I118" s="133" t="s">
        <v>1514</v>
      </c>
      <c r="J118" s="133"/>
      <c r="K118" s="133"/>
      <c r="L118" s="133"/>
      <c r="M118" s="133"/>
      <c r="N118" s="133"/>
      <c r="O118" s="133"/>
      <c r="P118" s="134">
        <v>44866</v>
      </c>
      <c r="Q118" s="134">
        <v>44873</v>
      </c>
      <c r="R118" s="133"/>
      <c r="S118" s="135">
        <v>6</v>
      </c>
      <c r="T118" s="135">
        <v>5</v>
      </c>
      <c r="U118" s="135">
        <v>6</v>
      </c>
      <c r="V118" s="135">
        <v>5</v>
      </c>
      <c r="W118" s="134">
        <v>44866</v>
      </c>
      <c r="X118" s="134">
        <v>44873</v>
      </c>
      <c r="Y118" s="136">
        <v>6</v>
      </c>
      <c r="Z118" s="137">
        <v>6</v>
      </c>
      <c r="AA118" s="135"/>
      <c r="AB118" s="209" t="s">
        <v>1620</v>
      </c>
      <c r="AC118" s="220"/>
      <c r="AD118" s="158">
        <v>0.83333333333333337</v>
      </c>
      <c r="AE118" s="208">
        <v>1</v>
      </c>
      <c r="AF118" s="162"/>
      <c r="AG118" s="163"/>
      <c r="AH118" s="163" t="str">
        <f>"                 " &amp; TEXT(AE118,"#0.00%") &amp; "/" &amp; TEXT(AD118,"#0.00% ") &amp; "" &amp; "관리자" &amp; "(조강래)" &amp; " " &amp; IF(P118="","",TEXT(P118,"M/D-")) &amp; IF(Q118="","",TEXT(Q118,"M/D")) &amp; " "</f>
        <v xml:space="preserve">                 100.00%/83.33% 관리자(조강래) 11/1-11/8 </v>
      </c>
      <c r="AI118" s="163"/>
      <c r="AJ118" s="163"/>
      <c r="AK118" s="163"/>
    </row>
    <row r="119" spans="1:37" ht="12" customHeight="1" outlineLevel="5">
      <c r="A119" s="132"/>
      <c r="B119" s="132"/>
      <c r="C119" s="132">
        <v>6</v>
      </c>
      <c r="D119" s="159" t="s">
        <v>2166</v>
      </c>
      <c r="E119" s="133"/>
      <c r="F119" s="133"/>
      <c r="G119" s="133"/>
      <c r="H119" s="133"/>
      <c r="I119" s="133"/>
      <c r="J119" s="133" t="s">
        <v>1515</v>
      </c>
      <c r="K119" s="133"/>
      <c r="L119" s="133"/>
      <c r="M119" s="133"/>
      <c r="N119" s="133"/>
      <c r="O119" s="133"/>
      <c r="P119" s="134">
        <v>44866</v>
      </c>
      <c r="Q119" s="134">
        <v>44867</v>
      </c>
      <c r="R119" s="133"/>
      <c r="S119" s="135">
        <v>2</v>
      </c>
      <c r="T119" s="135">
        <v>2</v>
      </c>
      <c r="U119" s="135">
        <v>2</v>
      </c>
      <c r="V119" s="135">
        <v>2</v>
      </c>
      <c r="W119" s="134">
        <v>44866</v>
      </c>
      <c r="X119" s="134">
        <v>44867</v>
      </c>
      <c r="Y119" s="136">
        <v>2</v>
      </c>
      <c r="Z119" s="137">
        <v>2</v>
      </c>
      <c r="AA119" s="135"/>
      <c r="AB119" s="209" t="s">
        <v>1620</v>
      </c>
      <c r="AC119" s="220"/>
      <c r="AD119" s="158">
        <v>1</v>
      </c>
      <c r="AE119" s="166">
        <v>1</v>
      </c>
      <c r="AF119" s="162"/>
      <c r="AG119" s="163"/>
      <c r="AH119" s="163" t="str">
        <f>"    " &amp; TEXT(AE119,"#0.00%") &amp; "/" &amp; TEXT(AD119,"#0.00% ") &amp; "" &amp; "사용자 관리" &amp; "(조강래)" &amp; " " &amp; IF(P119="","",TEXT(P119,"M/D-")) &amp; IF(Q119="","",TEXT(Q119,"M/D")) &amp; " "</f>
        <v xml:space="preserve">    100.00%/100.00% 사용자 관리(조강래) 11/1-11/2 </v>
      </c>
      <c r="AI119" s="163"/>
      <c r="AJ119" s="163"/>
      <c r="AK119" s="163"/>
    </row>
    <row r="120" spans="1:37" ht="12" customHeight="1" outlineLevel="5">
      <c r="A120" s="132"/>
      <c r="B120" s="132"/>
      <c r="C120" s="132">
        <v>6</v>
      </c>
      <c r="D120" s="159" t="s">
        <v>2167</v>
      </c>
      <c r="E120" s="133"/>
      <c r="F120" s="133"/>
      <c r="G120" s="133"/>
      <c r="H120" s="133"/>
      <c r="I120" s="133"/>
      <c r="J120" s="133" t="s">
        <v>1516</v>
      </c>
      <c r="K120" s="133"/>
      <c r="L120" s="133"/>
      <c r="M120" s="133"/>
      <c r="N120" s="133"/>
      <c r="O120" s="133"/>
      <c r="P120" s="134">
        <v>44868</v>
      </c>
      <c r="Q120" s="134">
        <v>44869</v>
      </c>
      <c r="R120" s="133"/>
      <c r="S120" s="135">
        <v>2</v>
      </c>
      <c r="T120" s="135">
        <v>2</v>
      </c>
      <c r="U120" s="135">
        <v>2</v>
      </c>
      <c r="V120" s="135">
        <v>2</v>
      </c>
      <c r="W120" s="134">
        <v>44868</v>
      </c>
      <c r="X120" s="134">
        <v>44869</v>
      </c>
      <c r="Y120" s="136">
        <v>2</v>
      </c>
      <c r="Z120" s="137">
        <v>2</v>
      </c>
      <c r="AA120" s="135"/>
      <c r="AB120" s="209" t="s">
        <v>1620</v>
      </c>
      <c r="AC120" s="220"/>
      <c r="AD120" s="158">
        <v>1</v>
      </c>
      <c r="AE120" s="166">
        <v>1</v>
      </c>
      <c r="AF120" s="162"/>
      <c r="AG120" s="163"/>
      <c r="AH120" s="163" t="str">
        <f>"         " &amp; TEXT(AE120,"#0.00%") &amp; "/" &amp; TEXT(AD120,"#0.00% ") &amp; "" &amp; "메뉴 관리" &amp; "(조강래)" &amp; " " &amp; IF(P120="","",TEXT(P120,"M/D-")) &amp; IF(Q120="","",TEXT(Q120,"M/D")) &amp; " "</f>
        <v xml:space="preserve">         100.00%/100.00% 메뉴 관리(조강래) 11/3-11/4 </v>
      </c>
      <c r="AI120" s="163"/>
      <c r="AJ120" s="163"/>
      <c r="AK120" s="163"/>
    </row>
    <row r="121" spans="1:37" ht="12" customHeight="1" outlineLevel="5">
      <c r="A121" s="132"/>
      <c r="B121" s="132"/>
      <c r="C121" s="132">
        <v>6</v>
      </c>
      <c r="D121" s="159" t="s">
        <v>2168</v>
      </c>
      <c r="E121" s="133"/>
      <c r="F121" s="133"/>
      <c r="G121" s="133"/>
      <c r="H121" s="133"/>
      <c r="I121" s="133"/>
      <c r="J121" s="133" t="s">
        <v>1517</v>
      </c>
      <c r="K121" s="133"/>
      <c r="L121" s="133"/>
      <c r="M121" s="133"/>
      <c r="N121" s="133"/>
      <c r="O121" s="133"/>
      <c r="P121" s="134">
        <v>44872</v>
      </c>
      <c r="Q121" s="134">
        <v>44873</v>
      </c>
      <c r="R121" s="133"/>
      <c r="S121" s="135">
        <v>2</v>
      </c>
      <c r="T121" s="135">
        <v>1</v>
      </c>
      <c r="U121" s="135">
        <v>2</v>
      </c>
      <c r="V121" s="135">
        <v>1</v>
      </c>
      <c r="W121" s="134">
        <v>44872</v>
      </c>
      <c r="X121" s="134">
        <v>44873</v>
      </c>
      <c r="Y121" s="136">
        <v>2</v>
      </c>
      <c r="Z121" s="137">
        <v>2</v>
      </c>
      <c r="AA121" s="135"/>
      <c r="AB121" s="209" t="s">
        <v>1620</v>
      </c>
      <c r="AC121" s="220"/>
      <c r="AD121" s="158">
        <v>0.5</v>
      </c>
      <c r="AE121" s="207">
        <v>1</v>
      </c>
      <c r="AF121" s="162"/>
      <c r="AG121" s="163"/>
      <c r="AH121" s="163" t="str">
        <f>"                 " &amp; TEXT(AE121,"#0.00%") &amp; "/" &amp; TEXT(AD121,"#0.00% ") &amp; "" &amp; "권한 관리" &amp; "(조강래)" &amp; " " &amp; IF(P121="","",TEXT(P121,"M/D-")) &amp; IF(Q121="","",TEXT(Q121,"M/D")) &amp; " "</f>
        <v xml:space="preserve">                 100.00%/50.00% 권한 관리(조강래) 11/7-11/8 </v>
      </c>
      <c r="AI121" s="163"/>
      <c r="AJ121" s="163"/>
      <c r="AK121" s="163"/>
    </row>
    <row r="122" spans="1:37" ht="12" customHeight="1" outlineLevel="3">
      <c r="A122" s="132"/>
      <c r="B122" s="132"/>
      <c r="C122" s="132">
        <v>4</v>
      </c>
      <c r="D122" s="159" t="s">
        <v>2169</v>
      </c>
      <c r="E122" s="133"/>
      <c r="F122" s="133"/>
      <c r="G122" s="133"/>
      <c r="H122" s="133" t="s">
        <v>1501</v>
      </c>
      <c r="I122" s="133"/>
      <c r="J122" s="133"/>
      <c r="K122" s="133"/>
      <c r="L122" s="133"/>
      <c r="M122" s="133"/>
      <c r="N122" s="133"/>
      <c r="O122" s="133"/>
      <c r="P122" s="134">
        <v>44875</v>
      </c>
      <c r="Q122" s="134">
        <v>44895</v>
      </c>
      <c r="R122" s="133"/>
      <c r="S122" s="135">
        <v>15</v>
      </c>
      <c r="T122" s="135">
        <v>0</v>
      </c>
      <c r="U122" s="135">
        <v>15</v>
      </c>
      <c r="V122" s="135">
        <v>0</v>
      </c>
      <c r="W122" s="134">
        <v>44875</v>
      </c>
      <c r="X122" s="134">
        <v>44895</v>
      </c>
      <c r="Y122" s="136">
        <v>15</v>
      </c>
      <c r="Z122" s="137">
        <v>15</v>
      </c>
      <c r="AA122" s="135"/>
      <c r="AB122" s="209" t="s">
        <v>1620</v>
      </c>
      <c r="AC122" s="220"/>
      <c r="AD122" s="158">
        <v>0</v>
      </c>
      <c r="AE122" s="207">
        <v>1</v>
      </c>
      <c r="AF122" s="162"/>
      <c r="AG122" s="163"/>
      <c r="AH122" s="163"/>
      <c r="AI122" s="163" t="str">
        <f>"" &amp; TEXT(AE122,"#0.00%") &amp; "/" &amp; TEXT(AD122,"#0.00% ") &amp; "" &amp; "변경관리" &amp; "(조강래)" &amp; " " &amp; IF(P122="","",TEXT(P122,"M/D-")) &amp; IF(Q122="","",TEXT(Q122,"M/D")) &amp; " "</f>
        <v xml:space="preserve">100.00%/0.00% 변경관리(조강래) 11/10-11/30 </v>
      </c>
      <c r="AJ122" s="163"/>
      <c r="AK122" s="163"/>
    </row>
    <row r="123" spans="1:37" ht="12" customHeight="1" outlineLevel="2">
      <c r="A123" s="132"/>
      <c r="B123" s="132" t="s">
        <v>1363</v>
      </c>
      <c r="C123" s="132">
        <v>3</v>
      </c>
      <c r="D123" s="159" t="s">
        <v>2026</v>
      </c>
      <c r="E123" s="133"/>
      <c r="F123" s="133"/>
      <c r="G123" s="133" t="s">
        <v>1449</v>
      </c>
      <c r="H123" s="133"/>
      <c r="I123" s="133"/>
      <c r="J123" s="133"/>
      <c r="K123" s="133"/>
      <c r="L123" s="133"/>
      <c r="M123" s="133"/>
      <c r="N123" s="133"/>
      <c r="O123" s="133"/>
      <c r="P123" s="134">
        <v>44830</v>
      </c>
      <c r="Q123" s="134">
        <v>44852</v>
      </c>
      <c r="R123" s="133"/>
      <c r="S123" s="135">
        <v>15</v>
      </c>
      <c r="T123" s="135">
        <v>15</v>
      </c>
      <c r="U123" s="135">
        <v>15</v>
      </c>
      <c r="V123" s="135">
        <v>15</v>
      </c>
      <c r="W123" s="134">
        <v>44830</v>
      </c>
      <c r="X123" s="134">
        <v>44852</v>
      </c>
      <c r="Y123" s="136">
        <v>15</v>
      </c>
      <c r="Z123" s="137">
        <v>15</v>
      </c>
      <c r="AA123" s="135"/>
      <c r="AB123" s="209" t="s">
        <v>1621</v>
      </c>
      <c r="AC123" s="220"/>
      <c r="AD123" s="158">
        <v>1</v>
      </c>
      <c r="AE123" s="192">
        <v>1</v>
      </c>
      <c r="AF123" s="162"/>
      <c r="AG123" s="163" t="str">
        <f>"                                     " &amp; TEXT(AE123,"#0.00%") &amp; "/" &amp; TEXT(AD123,"#0.00% ") &amp; "" &amp; "설계" &amp; "(개발팀)" &amp; " " &amp; IF(P123="","",TEXT(P123,"M/D-")) &amp; IF(Q123="","",TEXT(Q123,"M/D")) &amp; " "</f>
        <v xml:space="preserve">                                     100.00%/100.00% 설계(개발팀) 9/26-10/18 </v>
      </c>
      <c r="AH123" s="163"/>
      <c r="AI123" s="163"/>
      <c r="AJ123" s="163"/>
      <c r="AK123" s="163"/>
    </row>
    <row r="124" spans="1:37" ht="12" customHeight="1" outlineLevel="3">
      <c r="A124" s="132"/>
      <c r="B124" s="132"/>
      <c r="C124" s="132">
        <v>4</v>
      </c>
      <c r="D124" s="159" t="s">
        <v>2027</v>
      </c>
      <c r="E124" s="133"/>
      <c r="F124" s="133"/>
      <c r="G124" s="133"/>
      <c r="H124" s="133" t="s">
        <v>1518</v>
      </c>
      <c r="I124" s="133"/>
      <c r="J124" s="133"/>
      <c r="K124" s="133"/>
      <c r="L124" s="133"/>
      <c r="M124" s="133"/>
      <c r="N124" s="133"/>
      <c r="O124" s="133"/>
      <c r="P124" s="134">
        <v>44830</v>
      </c>
      <c r="Q124" s="134">
        <v>44830</v>
      </c>
      <c r="R124" s="133"/>
      <c r="S124" s="135">
        <v>1</v>
      </c>
      <c r="T124" s="135">
        <v>1</v>
      </c>
      <c r="U124" s="135">
        <v>1</v>
      </c>
      <c r="V124" s="135">
        <v>1</v>
      </c>
      <c r="W124" s="134">
        <v>44830</v>
      </c>
      <c r="X124" s="134">
        <v>44830</v>
      </c>
      <c r="Y124" s="136">
        <v>1</v>
      </c>
      <c r="Z124" s="137">
        <v>1</v>
      </c>
      <c r="AA124" s="135">
        <v>1</v>
      </c>
      <c r="AB124" s="209" t="s">
        <v>1621</v>
      </c>
      <c r="AC124" s="220"/>
      <c r="AD124" s="158">
        <v>1</v>
      </c>
      <c r="AE124" s="166">
        <v>1</v>
      </c>
      <c r="AF124" s="162" t="str">
        <f>"                                                       " &amp; TEXT(AE124,"#0.00%") &amp; "/" &amp; TEXT(AD124,"#0.00% ") &amp; "" &amp; "아키텍처" &amp; "(개발팀)" &amp; " " &amp; IF(P124="","",TEXT(P124,"M/D-")) &amp; IF(Q124="","",TEXT(Q124,"M/D")) &amp; " "</f>
        <v xml:space="preserve">                                                       100.00%/100.00% 아키텍처(개발팀) 9/26-9/26 </v>
      </c>
      <c r="AG124" s="163"/>
      <c r="AH124" s="163"/>
      <c r="AI124" s="163"/>
      <c r="AJ124" s="163"/>
      <c r="AK124" s="163"/>
    </row>
    <row r="125" spans="1:37" ht="12" customHeight="1" outlineLevel="3">
      <c r="A125" s="132"/>
      <c r="B125" s="132"/>
      <c r="C125" s="132">
        <v>4</v>
      </c>
      <c r="D125" s="159" t="s">
        <v>2028</v>
      </c>
      <c r="E125" s="133"/>
      <c r="F125" s="133"/>
      <c r="G125" s="133"/>
      <c r="H125" s="133" t="s">
        <v>1519</v>
      </c>
      <c r="I125" s="133"/>
      <c r="J125" s="133"/>
      <c r="K125" s="133"/>
      <c r="L125" s="133"/>
      <c r="M125" s="133"/>
      <c r="N125" s="133"/>
      <c r="O125" s="133"/>
      <c r="P125" s="134">
        <v>44831</v>
      </c>
      <c r="Q125" s="134">
        <v>44832</v>
      </c>
      <c r="R125" s="133"/>
      <c r="S125" s="135">
        <v>2</v>
      </c>
      <c r="T125" s="135">
        <v>2</v>
      </c>
      <c r="U125" s="135">
        <v>2</v>
      </c>
      <c r="V125" s="135">
        <v>2</v>
      </c>
      <c r="W125" s="134">
        <v>44831</v>
      </c>
      <c r="X125" s="134">
        <v>44832</v>
      </c>
      <c r="Y125" s="136">
        <v>2</v>
      </c>
      <c r="Z125" s="137">
        <v>2</v>
      </c>
      <c r="AA125" s="135">
        <v>1</v>
      </c>
      <c r="AB125" s="209" t="s">
        <v>1621</v>
      </c>
      <c r="AC125" s="220"/>
      <c r="AD125" s="158">
        <v>1</v>
      </c>
      <c r="AE125" s="166">
        <v>1</v>
      </c>
      <c r="AF125" s="162" t="str">
        <f>"                                                            " &amp; TEXT(AE125,"#0.00%") &amp; "/" &amp; TEXT(AD125,"#0.00% ") &amp; "" &amp; "어플리케이션" &amp; "(개발팀)" &amp; " " &amp; IF(P125="","",TEXT(P125,"M/D-")) &amp; IF(Q125="","",TEXT(Q125,"M/D")) &amp; " "</f>
        <v xml:space="preserve">                                                            100.00%/100.00% 어플리케이션(개발팀) 9/27-9/28 </v>
      </c>
      <c r="AG125" s="163"/>
      <c r="AH125" s="163"/>
      <c r="AI125" s="163"/>
      <c r="AJ125" s="163"/>
      <c r="AK125" s="163"/>
    </row>
    <row r="126" spans="1:37" ht="12" customHeight="1" outlineLevel="3">
      <c r="A126" s="132"/>
      <c r="B126" s="132"/>
      <c r="C126" s="132">
        <v>4</v>
      </c>
      <c r="D126" s="159" t="s">
        <v>2029</v>
      </c>
      <c r="E126" s="133"/>
      <c r="F126" s="133"/>
      <c r="G126" s="133"/>
      <c r="H126" s="133" t="s">
        <v>1520</v>
      </c>
      <c r="I126" s="133"/>
      <c r="J126" s="133"/>
      <c r="K126" s="133"/>
      <c r="L126" s="133"/>
      <c r="M126" s="133"/>
      <c r="N126" s="133"/>
      <c r="O126" s="133"/>
      <c r="P126" s="134">
        <v>44833</v>
      </c>
      <c r="Q126" s="134">
        <v>44848</v>
      </c>
      <c r="R126" s="133"/>
      <c r="S126" s="135">
        <v>10</v>
      </c>
      <c r="T126" s="135">
        <v>10</v>
      </c>
      <c r="U126" s="135">
        <v>10</v>
      </c>
      <c r="V126" s="135">
        <v>10</v>
      </c>
      <c r="W126" s="134">
        <v>44833</v>
      </c>
      <c r="X126" s="134">
        <v>44848</v>
      </c>
      <c r="Y126" s="136">
        <v>10</v>
      </c>
      <c r="Z126" s="137">
        <v>10</v>
      </c>
      <c r="AA126" s="135">
        <v>1</v>
      </c>
      <c r="AB126" s="209" t="s">
        <v>1621</v>
      </c>
      <c r="AC126" s="220"/>
      <c r="AD126" s="158">
        <v>1</v>
      </c>
      <c r="AE126" s="166">
        <v>1</v>
      </c>
      <c r="AF126" s="162"/>
      <c r="AG126" s="163" t="str">
        <f>"                             " &amp; TEXT(AE126,"#0.00%") &amp; "/" &amp; TEXT(AD126,"#0.00% ") &amp; "" &amp; "데이터베이스" &amp; "(개발팀)" &amp; " " &amp; IF(P126="","",TEXT(P126,"M/D-")) &amp; IF(Q126="","",TEXT(Q126,"M/D")) &amp; " "</f>
        <v xml:space="preserve">                             100.00%/100.00% 데이터베이스(개발팀) 9/29-10/14 </v>
      </c>
      <c r="AH126" s="163"/>
      <c r="AI126" s="163"/>
      <c r="AJ126" s="163"/>
      <c r="AK126" s="163"/>
    </row>
    <row r="127" spans="1:37" ht="12" customHeight="1" outlineLevel="3">
      <c r="A127" s="132"/>
      <c r="B127" s="132"/>
      <c r="C127" s="132">
        <v>4</v>
      </c>
      <c r="D127" s="159" t="s">
        <v>2030</v>
      </c>
      <c r="E127" s="133"/>
      <c r="F127" s="133"/>
      <c r="G127" s="133"/>
      <c r="H127" s="133" t="s">
        <v>1521</v>
      </c>
      <c r="I127" s="133"/>
      <c r="J127" s="133"/>
      <c r="K127" s="133"/>
      <c r="L127" s="133"/>
      <c r="M127" s="133"/>
      <c r="N127" s="133"/>
      <c r="O127" s="133"/>
      <c r="P127" s="134">
        <v>44851</v>
      </c>
      <c r="Q127" s="134">
        <v>44852</v>
      </c>
      <c r="R127" s="133"/>
      <c r="S127" s="135">
        <v>2</v>
      </c>
      <c r="T127" s="135">
        <v>2</v>
      </c>
      <c r="U127" s="135">
        <v>2</v>
      </c>
      <c r="V127" s="135">
        <v>2</v>
      </c>
      <c r="W127" s="134">
        <v>44851</v>
      </c>
      <c r="X127" s="134">
        <v>44852</v>
      </c>
      <c r="Y127" s="136">
        <v>2</v>
      </c>
      <c r="Z127" s="137">
        <v>2</v>
      </c>
      <c r="AA127" s="135"/>
      <c r="AB127" s="209" t="s">
        <v>1621</v>
      </c>
      <c r="AC127" s="220"/>
      <c r="AD127" s="158">
        <v>1</v>
      </c>
      <c r="AE127" s="166">
        <v>1</v>
      </c>
      <c r="AF127" s="162"/>
      <c r="AG127" s="163" t="str">
        <f>"                                     " &amp; TEXT(AE127,"#0.00%") &amp; "/" &amp; TEXT(AD127,"#0.00% ") &amp; "" &amp; "인터페이스(그룹웨어)" &amp; "(개발팀)" &amp; " " &amp; IF(P127="","",TEXT(P127,"M/D-")) &amp; IF(Q127="","",TEXT(Q127,"M/D")) &amp; " "</f>
        <v xml:space="preserve">                                     100.00%/100.00% 인터페이스(그룹웨어)(개발팀) 10/17-10/18 </v>
      </c>
      <c r="AH127" s="163"/>
      <c r="AI127" s="163"/>
      <c r="AJ127" s="163"/>
      <c r="AK127" s="163"/>
    </row>
    <row r="128" spans="1:37" ht="12" customHeight="1" outlineLevel="2">
      <c r="A128" s="132"/>
      <c r="B128" s="132" t="s">
        <v>1363</v>
      </c>
      <c r="C128" s="132">
        <v>3</v>
      </c>
      <c r="D128" s="159" t="s">
        <v>2031</v>
      </c>
      <c r="E128" s="133"/>
      <c r="F128" s="133"/>
      <c r="G128" s="133" t="s">
        <v>1522</v>
      </c>
      <c r="H128" s="133"/>
      <c r="I128" s="133"/>
      <c r="J128" s="133"/>
      <c r="K128" s="133"/>
      <c r="L128" s="133"/>
      <c r="M128" s="133"/>
      <c r="N128" s="133"/>
      <c r="O128" s="133"/>
      <c r="P128" s="134">
        <v>44831</v>
      </c>
      <c r="Q128" s="134">
        <v>44845</v>
      </c>
      <c r="R128" s="133"/>
      <c r="S128" s="135">
        <v>15</v>
      </c>
      <c r="T128" s="135">
        <v>15</v>
      </c>
      <c r="U128" s="135">
        <v>9</v>
      </c>
      <c r="V128" s="135">
        <v>9</v>
      </c>
      <c r="W128" s="134">
        <v>44831</v>
      </c>
      <c r="X128" s="134">
        <v>44869</v>
      </c>
      <c r="Y128" s="136">
        <v>36</v>
      </c>
      <c r="Z128" s="137">
        <v>27</v>
      </c>
      <c r="AA128" s="135"/>
      <c r="AB128" s="209" t="s">
        <v>1622</v>
      </c>
      <c r="AC128" s="220"/>
      <c r="AD128" s="158">
        <v>1</v>
      </c>
      <c r="AE128" s="192">
        <v>1</v>
      </c>
      <c r="AF128" s="162"/>
      <c r="AG128" s="163"/>
      <c r="AH128" s="163" t="str">
        <f>"         " &amp; TEXT(AE128,"#0.00%") &amp; "/" &amp; TEXT(AD128,"#0.00% ") &amp; "" &amp; "인프라 구성" &amp; "(명동권)" &amp; " " &amp; IF(P128="","",TEXT(P128,"M/D-")) &amp; IF(Q128="","",TEXT(Q128,"M/D")) &amp; " "</f>
        <v xml:space="preserve">         100.00%/100.00% 인프라 구성(명동권) 9/27-10/11 </v>
      </c>
      <c r="AI128" s="163"/>
      <c r="AJ128" s="163"/>
      <c r="AK128" s="163"/>
    </row>
    <row r="129" spans="1:37" ht="12" customHeight="1" outlineLevel="3">
      <c r="A129" s="132"/>
      <c r="B129" s="132"/>
      <c r="C129" s="132">
        <v>4</v>
      </c>
      <c r="D129" s="159" t="s">
        <v>2032</v>
      </c>
      <c r="E129" s="133"/>
      <c r="F129" s="133"/>
      <c r="G129" s="133"/>
      <c r="H129" s="133" t="s">
        <v>1523</v>
      </c>
      <c r="I129" s="133"/>
      <c r="J129" s="133"/>
      <c r="K129" s="133"/>
      <c r="L129" s="133"/>
      <c r="M129" s="133"/>
      <c r="N129" s="133"/>
      <c r="O129" s="133"/>
      <c r="P129" s="134">
        <v>44831</v>
      </c>
      <c r="Q129" s="134">
        <v>44833</v>
      </c>
      <c r="R129" s="133"/>
      <c r="S129" s="135">
        <v>3</v>
      </c>
      <c r="T129" s="135">
        <v>3</v>
      </c>
      <c r="U129" s="135">
        <v>3</v>
      </c>
      <c r="V129" s="135">
        <v>3</v>
      </c>
      <c r="W129" s="134">
        <v>44831</v>
      </c>
      <c r="X129" s="134">
        <v>44833</v>
      </c>
      <c r="Y129" s="136">
        <v>3</v>
      </c>
      <c r="Z129" s="137">
        <v>3</v>
      </c>
      <c r="AA129" s="135">
        <v>1</v>
      </c>
      <c r="AB129" s="209" t="s">
        <v>1622</v>
      </c>
      <c r="AC129" s="220"/>
      <c r="AD129" s="158">
        <v>1</v>
      </c>
      <c r="AE129" s="166">
        <v>1</v>
      </c>
      <c r="AF129" s="162" t="str">
        <f>"                                                              " &amp; TEXT(AE129,"#0.00%") &amp; "/" &amp; TEXT(AD129,"#0.00% ") &amp; "" &amp; "gitlab" &amp; "(명동권)" &amp; " " &amp; IF(P129="","",TEXT(P129,"M/D-")) &amp; IF(Q129="","",TEXT(Q129,"M/D")) &amp; " "</f>
        <v xml:space="preserve">                                                              100.00%/100.00% gitlab(명동권) 9/27-9/29 </v>
      </c>
      <c r="AG129" s="163"/>
      <c r="AH129" s="163"/>
      <c r="AI129" s="163"/>
      <c r="AJ129" s="163"/>
      <c r="AK129" s="163"/>
    </row>
    <row r="130" spans="1:37" ht="12" customHeight="1" outlineLevel="3">
      <c r="A130" s="132"/>
      <c r="B130" s="132"/>
      <c r="C130" s="132">
        <v>4</v>
      </c>
      <c r="D130" s="159" t="s">
        <v>2033</v>
      </c>
      <c r="E130" s="133"/>
      <c r="F130" s="133"/>
      <c r="G130" s="133"/>
      <c r="H130" s="133" t="s">
        <v>1524</v>
      </c>
      <c r="I130" s="133"/>
      <c r="J130" s="133"/>
      <c r="K130" s="133"/>
      <c r="L130" s="133"/>
      <c r="M130" s="133"/>
      <c r="N130" s="133"/>
      <c r="O130" s="133"/>
      <c r="P130" s="134">
        <v>44834</v>
      </c>
      <c r="Q130" s="134">
        <v>44839</v>
      </c>
      <c r="R130" s="133"/>
      <c r="S130" s="135">
        <v>3</v>
      </c>
      <c r="T130" s="135">
        <v>3</v>
      </c>
      <c r="U130" s="135">
        <v>3</v>
      </c>
      <c r="V130" s="135">
        <v>3</v>
      </c>
      <c r="W130" s="134">
        <v>44834</v>
      </c>
      <c r="X130" s="134">
        <v>44869</v>
      </c>
      <c r="Y130" s="136">
        <v>24</v>
      </c>
      <c r="Z130" s="137">
        <v>24</v>
      </c>
      <c r="AA130" s="135"/>
      <c r="AB130" s="209" t="s">
        <v>1622</v>
      </c>
      <c r="AC130" s="220"/>
      <c r="AD130" s="158">
        <v>1</v>
      </c>
      <c r="AE130" s="166">
        <v>1</v>
      </c>
      <c r="AF130" s="162"/>
      <c r="AG130" s="163"/>
      <c r="AH130" s="163" t="str">
        <f>"         " &amp; TEXT(AE130,"#0.00%") &amp; "/" &amp; TEXT(AD130,"#0.00% ") &amp; "" &amp; "웹서버" &amp; "(명동권)" &amp; " " &amp; IF(P130="","",TEXT(P130,"M/D-")) &amp; IF(Q130="","",TEXT(Q130,"M/D")) &amp; " "</f>
        <v xml:space="preserve">         100.00%/100.00% 웹서버(명동권) 9/30-10/5 </v>
      </c>
      <c r="AI130" s="163"/>
      <c r="AJ130" s="163"/>
      <c r="AK130" s="163"/>
    </row>
    <row r="131" spans="1:37" ht="12" customHeight="1" outlineLevel="3">
      <c r="A131" s="132"/>
      <c r="B131" s="132"/>
      <c r="C131" s="132">
        <v>4</v>
      </c>
      <c r="D131" s="159" t="s">
        <v>2034</v>
      </c>
      <c r="E131" s="133"/>
      <c r="F131" s="133"/>
      <c r="G131" s="133"/>
      <c r="H131" s="133" t="s">
        <v>1525</v>
      </c>
      <c r="I131" s="133"/>
      <c r="J131" s="133"/>
      <c r="K131" s="133"/>
      <c r="L131" s="133"/>
      <c r="M131" s="133"/>
      <c r="N131" s="133"/>
      <c r="O131" s="133"/>
      <c r="P131" s="134">
        <v>44840</v>
      </c>
      <c r="Q131" s="134">
        <v>44845</v>
      </c>
      <c r="R131" s="133"/>
      <c r="S131" s="135">
        <v>3</v>
      </c>
      <c r="T131" s="135">
        <v>3</v>
      </c>
      <c r="U131" s="135">
        <v>3</v>
      </c>
      <c r="V131" s="135">
        <v>3</v>
      </c>
      <c r="W131" s="134">
        <v>44840</v>
      </c>
      <c r="X131" s="134">
        <v>44845</v>
      </c>
      <c r="Y131" s="136">
        <v>3</v>
      </c>
      <c r="Z131" s="137">
        <v>3</v>
      </c>
      <c r="AA131" s="135"/>
      <c r="AB131" s="209" t="s">
        <v>1622</v>
      </c>
      <c r="AC131" s="220"/>
      <c r="AD131" s="158">
        <v>1</v>
      </c>
      <c r="AE131" s="166">
        <v>1</v>
      </c>
      <c r="AF131" s="162"/>
      <c r="AG131" s="163" t="str">
        <f>"                       " &amp; TEXT(AE131,"#0.00%") &amp; "/" &amp; TEXT(AD131,"#0.00% ") &amp; "" &amp; "DB서버" &amp; "(명동권)" &amp; " " &amp; IF(P131="","",TEXT(P131,"M/D-")) &amp; IF(Q131="","",TEXT(Q131,"M/D")) &amp; " "</f>
        <v xml:space="preserve">                       100.00%/100.00% DB서버(명동권) 10/6-10/11 </v>
      </c>
      <c r="AH131" s="163"/>
      <c r="AI131" s="163"/>
      <c r="AJ131" s="163"/>
      <c r="AK131" s="163"/>
    </row>
    <row r="132" spans="1:37" ht="12" customHeight="1" outlineLevel="3">
      <c r="A132" s="132"/>
      <c r="B132" s="132"/>
      <c r="C132" s="132">
        <v>4</v>
      </c>
      <c r="D132" s="159" t="s">
        <v>2035</v>
      </c>
      <c r="E132" s="133"/>
      <c r="F132" s="133"/>
      <c r="G132" s="133"/>
      <c r="H132" s="133" t="s">
        <v>1526</v>
      </c>
      <c r="I132" s="133"/>
      <c r="J132" s="133"/>
      <c r="K132" s="133"/>
      <c r="L132" s="133"/>
      <c r="M132" s="133"/>
      <c r="N132" s="133"/>
      <c r="O132" s="133"/>
      <c r="P132" s="134">
        <v>44840</v>
      </c>
      <c r="Q132" s="134">
        <v>44845</v>
      </c>
      <c r="R132" s="133"/>
      <c r="S132" s="135">
        <v>3</v>
      </c>
      <c r="T132" s="135">
        <v>3</v>
      </c>
      <c r="U132" s="135">
        <v>3</v>
      </c>
      <c r="V132" s="135">
        <v>3</v>
      </c>
      <c r="W132" s="134">
        <v>44840</v>
      </c>
      <c r="X132" s="134">
        <v>44845</v>
      </c>
      <c r="Y132" s="136">
        <v>3</v>
      </c>
      <c r="Z132" s="137">
        <v>3</v>
      </c>
      <c r="AA132" s="135">
        <v>1</v>
      </c>
      <c r="AB132" s="209" t="s">
        <v>1622</v>
      </c>
      <c r="AC132" s="220"/>
      <c r="AD132" s="158">
        <v>1</v>
      </c>
      <c r="AE132" s="166">
        <v>1</v>
      </c>
      <c r="AF132" s="162"/>
      <c r="AG132" s="163" t="str">
        <f>"                       " &amp; TEXT(AE132,"#0.00%") &amp; "/" &amp; TEXT(AD132,"#0.00% ") &amp; "" &amp; "Storage" &amp; "(명동권)" &amp; " " &amp; IF(P132="","",TEXT(P132,"M/D-")) &amp; IF(Q132="","",TEXT(Q132,"M/D")) &amp; " "</f>
        <v xml:space="preserve">                       100.00%/100.00% Storage(명동권) 10/6-10/11 </v>
      </c>
      <c r="AH132" s="163"/>
      <c r="AI132" s="163"/>
      <c r="AJ132" s="163"/>
      <c r="AK132" s="163"/>
    </row>
    <row r="133" spans="1:37" ht="12" customHeight="1" outlineLevel="3">
      <c r="A133" s="132"/>
      <c r="B133" s="132"/>
      <c r="C133" s="132">
        <v>4</v>
      </c>
      <c r="D133" s="159" t="s">
        <v>2036</v>
      </c>
      <c r="E133" s="133"/>
      <c r="F133" s="133"/>
      <c r="G133" s="133"/>
      <c r="H133" s="133" t="s">
        <v>1527</v>
      </c>
      <c r="I133" s="133"/>
      <c r="J133" s="133"/>
      <c r="K133" s="133"/>
      <c r="L133" s="133"/>
      <c r="M133" s="133"/>
      <c r="N133" s="133"/>
      <c r="O133" s="133"/>
      <c r="P133" s="134">
        <v>44840</v>
      </c>
      <c r="Q133" s="134">
        <v>44845</v>
      </c>
      <c r="R133" s="133"/>
      <c r="S133" s="135">
        <v>3</v>
      </c>
      <c r="T133" s="135">
        <v>3</v>
      </c>
      <c r="U133" s="135">
        <v>3</v>
      </c>
      <c r="V133" s="135">
        <v>3</v>
      </c>
      <c r="W133" s="134">
        <v>44840</v>
      </c>
      <c r="X133" s="134">
        <v>44845</v>
      </c>
      <c r="Y133" s="136">
        <v>3</v>
      </c>
      <c r="Z133" s="137">
        <v>3</v>
      </c>
      <c r="AA133" s="135">
        <v>1</v>
      </c>
      <c r="AB133" s="209" t="s">
        <v>1622</v>
      </c>
      <c r="AC133" s="220"/>
      <c r="AD133" s="158">
        <v>1</v>
      </c>
      <c r="AE133" s="166">
        <v>1</v>
      </c>
      <c r="AF133" s="162"/>
      <c r="AG133" s="163" t="str">
        <f>"                       " &amp; TEXT(AE133,"#0.00%") &amp; "/" &amp; TEXT(AD133,"#0.00% ") &amp; "" &amp; "배포환경" &amp; "(명동권)" &amp; " " &amp; IF(P133="","",TEXT(P133,"M/D-")) &amp; IF(Q133="","",TEXT(Q133,"M/D")) &amp; " "</f>
        <v xml:space="preserve">                       100.00%/100.00% 배포환경(명동권) 10/6-10/11 </v>
      </c>
      <c r="AH133" s="163"/>
      <c r="AI133" s="163"/>
      <c r="AJ133" s="163"/>
      <c r="AK133" s="163"/>
    </row>
    <row r="134" spans="1:37" ht="12" customHeight="1" outlineLevel="2">
      <c r="A134" s="132"/>
      <c r="B134" s="132" t="s">
        <v>1363</v>
      </c>
      <c r="C134" s="132">
        <v>3</v>
      </c>
      <c r="D134" s="159" t="s">
        <v>2037</v>
      </c>
      <c r="E134" s="133"/>
      <c r="F134" s="133"/>
      <c r="G134" s="133" t="s">
        <v>1452</v>
      </c>
      <c r="H134" s="133"/>
      <c r="I134" s="133"/>
      <c r="J134" s="133"/>
      <c r="K134" s="133"/>
      <c r="L134" s="133"/>
      <c r="M134" s="133"/>
      <c r="N134" s="133"/>
      <c r="O134" s="133"/>
      <c r="P134" s="134">
        <v>44840</v>
      </c>
      <c r="Q134" s="134">
        <v>44925</v>
      </c>
      <c r="R134" s="133"/>
      <c r="S134" s="135">
        <v>245</v>
      </c>
      <c r="T134" s="135">
        <v>90</v>
      </c>
      <c r="U134" s="135">
        <v>61</v>
      </c>
      <c r="V134" s="135">
        <v>22</v>
      </c>
      <c r="W134" s="134">
        <v>44840</v>
      </c>
      <c r="X134" s="134"/>
      <c r="Y134" s="136">
        <v>96</v>
      </c>
      <c r="Z134" s="137">
        <v>0</v>
      </c>
      <c r="AA134" s="135"/>
      <c r="AB134" s="209" t="s">
        <v>1621</v>
      </c>
      <c r="AC134" s="220"/>
      <c r="AD134" s="158">
        <v>0.36734693877551022</v>
      </c>
      <c r="AE134" s="208">
        <v>0.39183673469387753</v>
      </c>
      <c r="AF134" s="162"/>
      <c r="AG134" s="163"/>
      <c r="AH134" s="163" t="str">
        <f>"                 " &amp; TEXT(AE134,"#0.00%") &amp; "/" &amp; TEXT(AD134,"#0.00% ") &amp; ""</f>
        <v xml:space="preserve">                 39.18%/36.73% </v>
      </c>
      <c r="AI134" s="163" t="str">
        <f>"                                                              " &amp; "개발" &amp; "(개발팀)" &amp; " " &amp; IF(P134="","",TEXT(P134,"M/D-")) &amp; IF(Q134="","",TEXT(Q134,"M/D")) &amp; " "</f>
        <v xml:space="preserve">                                                              개발(개발팀) 10/6-12/30 </v>
      </c>
      <c r="AJ134" s="163"/>
      <c r="AK134" s="163"/>
    </row>
    <row r="135" spans="1:37" ht="12" customHeight="1" outlineLevel="3">
      <c r="A135" s="132"/>
      <c r="B135" s="132" t="s">
        <v>1363</v>
      </c>
      <c r="C135" s="132">
        <v>4</v>
      </c>
      <c r="D135" s="159" t="s">
        <v>2038</v>
      </c>
      <c r="E135" s="133"/>
      <c r="F135" s="133"/>
      <c r="G135" s="133"/>
      <c r="H135" s="133" t="s">
        <v>1528</v>
      </c>
      <c r="I135" s="133"/>
      <c r="J135" s="133"/>
      <c r="K135" s="133"/>
      <c r="L135" s="133"/>
      <c r="M135" s="133"/>
      <c r="N135" s="133"/>
      <c r="O135" s="133"/>
      <c r="P135" s="134">
        <v>44840</v>
      </c>
      <c r="Q135" s="134">
        <v>44851</v>
      </c>
      <c r="R135" s="133"/>
      <c r="S135" s="135">
        <v>10</v>
      </c>
      <c r="T135" s="135">
        <v>10</v>
      </c>
      <c r="U135" s="135">
        <v>7</v>
      </c>
      <c r="V135" s="135">
        <v>7</v>
      </c>
      <c r="W135" s="134">
        <v>44840</v>
      </c>
      <c r="X135" s="134">
        <v>44851</v>
      </c>
      <c r="Y135" s="136">
        <v>10</v>
      </c>
      <c r="Z135" s="137">
        <v>7</v>
      </c>
      <c r="AA135" s="135"/>
      <c r="AB135" s="209" t="s">
        <v>1623</v>
      </c>
      <c r="AC135" s="220"/>
      <c r="AD135" s="158">
        <v>1</v>
      </c>
      <c r="AE135" s="192">
        <v>1</v>
      </c>
      <c r="AF135" s="162"/>
      <c r="AG135" s="163" t="str">
        <f>"                                   " &amp; TEXT(AE135,"#0.00%") &amp; "/" &amp; TEXT(AD135,"#0.00% ") &amp; "" &amp; "공통" &amp; "(이세림)" &amp; " " &amp; IF(P135="","",TEXT(P135,"M/D-")) &amp; IF(Q135="","",TEXT(Q135,"M/D")) &amp; " "</f>
        <v xml:space="preserve">                                   100.00%/100.00% 공통(이세림) 10/6-10/17 </v>
      </c>
      <c r="AH135" s="163"/>
      <c r="AI135" s="163"/>
      <c r="AJ135" s="163"/>
      <c r="AK135" s="163"/>
    </row>
    <row r="136" spans="1:37" ht="12" customHeight="1" outlineLevel="4">
      <c r="A136" s="132"/>
      <c r="B136" s="132" t="s">
        <v>1363</v>
      </c>
      <c r="C136" s="132">
        <v>5</v>
      </c>
      <c r="D136" s="159" t="s">
        <v>2039</v>
      </c>
      <c r="E136" s="133"/>
      <c r="F136" s="133"/>
      <c r="G136" s="133"/>
      <c r="H136" s="133"/>
      <c r="I136" s="133" t="s">
        <v>1529</v>
      </c>
      <c r="J136" s="133"/>
      <c r="K136" s="133"/>
      <c r="L136" s="133"/>
      <c r="M136" s="133"/>
      <c r="N136" s="133"/>
      <c r="O136" s="133"/>
      <c r="P136" s="134">
        <v>44840</v>
      </c>
      <c r="Q136" s="134">
        <v>44851</v>
      </c>
      <c r="R136" s="133"/>
      <c r="S136" s="135">
        <v>10</v>
      </c>
      <c r="T136" s="135">
        <v>10</v>
      </c>
      <c r="U136" s="135">
        <v>7</v>
      </c>
      <c r="V136" s="135">
        <v>7</v>
      </c>
      <c r="W136" s="134">
        <v>44840</v>
      </c>
      <c r="X136" s="134">
        <v>44851</v>
      </c>
      <c r="Y136" s="136">
        <v>10</v>
      </c>
      <c r="Z136" s="137">
        <v>7</v>
      </c>
      <c r="AA136" s="135"/>
      <c r="AB136" s="209" t="s">
        <v>1623</v>
      </c>
      <c r="AC136" s="220"/>
      <c r="AD136" s="158">
        <v>1</v>
      </c>
      <c r="AE136" s="192">
        <v>1</v>
      </c>
      <c r="AF136" s="162"/>
      <c r="AG136" s="163" t="str">
        <f>"                                   " &amp; TEXT(AE136,"#0.00%") &amp; "/" &amp; TEXT(AD136,"#0.00% ") &amp; "" &amp; "공통페이지" &amp; "(이세림)" &amp; " " &amp; IF(P136="","",TEXT(P136,"M/D-")) &amp; IF(Q136="","",TEXT(Q136,"M/D")) &amp; " "</f>
        <v xml:space="preserve">                                   100.00%/100.00% 공통페이지(이세림) 10/6-10/17 </v>
      </c>
      <c r="AH136" s="163"/>
      <c r="AI136" s="163"/>
      <c r="AJ136" s="163"/>
      <c r="AK136" s="163"/>
    </row>
    <row r="137" spans="1:37" ht="12" customHeight="1" outlineLevel="5">
      <c r="A137" s="132"/>
      <c r="B137" s="132"/>
      <c r="C137" s="132">
        <v>6</v>
      </c>
      <c r="D137" s="159" t="s">
        <v>2040</v>
      </c>
      <c r="E137" s="133"/>
      <c r="F137" s="133"/>
      <c r="G137" s="133"/>
      <c r="H137" s="133"/>
      <c r="I137" s="133"/>
      <c r="J137" s="133" t="s">
        <v>1530</v>
      </c>
      <c r="K137" s="133"/>
      <c r="L137" s="133"/>
      <c r="M137" s="133"/>
      <c r="N137" s="133"/>
      <c r="O137" s="133"/>
      <c r="P137" s="134">
        <v>44840</v>
      </c>
      <c r="Q137" s="134">
        <v>44845</v>
      </c>
      <c r="R137" s="133"/>
      <c r="S137" s="135">
        <v>3</v>
      </c>
      <c r="T137" s="135">
        <v>3</v>
      </c>
      <c r="U137" s="135">
        <v>3</v>
      </c>
      <c r="V137" s="135">
        <v>3</v>
      </c>
      <c r="W137" s="134">
        <v>44840</v>
      </c>
      <c r="X137" s="134">
        <v>44845</v>
      </c>
      <c r="Y137" s="136">
        <v>3</v>
      </c>
      <c r="Z137" s="137">
        <v>3</v>
      </c>
      <c r="AA137" s="135">
        <v>1</v>
      </c>
      <c r="AB137" s="209" t="s">
        <v>1623</v>
      </c>
      <c r="AC137" s="220"/>
      <c r="AD137" s="158">
        <v>1</v>
      </c>
      <c r="AE137" s="166">
        <v>1</v>
      </c>
      <c r="AF137" s="162"/>
      <c r="AG137" s="163" t="str">
        <f>"                       " &amp; TEXT(AE137,"#0.00%") &amp; "/" &amp; TEXT(AD137,"#0.00% ") &amp; "" &amp; "인증" &amp; "(이세림)" &amp; " " &amp; IF(P137="","",TEXT(P137,"M/D-")) &amp; IF(Q137="","",TEXT(Q137,"M/D")) &amp; " "</f>
        <v xml:space="preserve">                       100.00%/100.00% 인증(이세림) 10/6-10/11 </v>
      </c>
      <c r="AH137" s="163"/>
      <c r="AI137" s="163"/>
      <c r="AJ137" s="163"/>
      <c r="AK137" s="163"/>
    </row>
    <row r="138" spans="1:37" ht="12" customHeight="1" outlineLevel="5">
      <c r="A138" s="132"/>
      <c r="B138" s="132" t="s">
        <v>1363</v>
      </c>
      <c r="C138" s="132">
        <v>6</v>
      </c>
      <c r="D138" s="159" t="s">
        <v>2041</v>
      </c>
      <c r="E138" s="133"/>
      <c r="F138" s="133"/>
      <c r="G138" s="133"/>
      <c r="H138" s="133"/>
      <c r="I138" s="133"/>
      <c r="J138" s="133" t="s">
        <v>1503</v>
      </c>
      <c r="K138" s="133"/>
      <c r="L138" s="133"/>
      <c r="M138" s="133"/>
      <c r="N138" s="133"/>
      <c r="O138" s="133"/>
      <c r="P138" s="134">
        <v>44840</v>
      </c>
      <c r="Q138" s="134">
        <v>44851</v>
      </c>
      <c r="R138" s="133"/>
      <c r="S138" s="135">
        <v>7</v>
      </c>
      <c r="T138" s="135">
        <v>7</v>
      </c>
      <c r="U138" s="135">
        <v>7</v>
      </c>
      <c r="V138" s="135">
        <v>7</v>
      </c>
      <c r="W138" s="134">
        <v>44840</v>
      </c>
      <c r="X138" s="134">
        <v>44851</v>
      </c>
      <c r="Y138" s="136">
        <v>7</v>
      </c>
      <c r="Z138" s="137">
        <v>7</v>
      </c>
      <c r="AA138" s="135"/>
      <c r="AB138" s="209" t="s">
        <v>1623</v>
      </c>
      <c r="AC138" s="220"/>
      <c r="AD138" s="158">
        <v>1</v>
      </c>
      <c r="AE138" s="192">
        <v>1</v>
      </c>
      <c r="AF138" s="162"/>
      <c r="AG138" s="163" t="str">
        <f>"                                   " &amp; TEXT(AE138,"#0.00%") &amp; "/" &amp; TEXT(AD138,"#0.00% ") &amp; "" &amp; "마스터페이지" &amp; "(이세림)" &amp; " " &amp; IF(P138="","",TEXT(P138,"M/D-")) &amp; IF(Q138="","",TEXT(Q138,"M/D")) &amp; " "</f>
        <v xml:space="preserve">                                   100.00%/100.00% 마스터페이지(이세림) 10/6-10/17 </v>
      </c>
      <c r="AH138" s="163"/>
      <c r="AI138" s="163"/>
      <c r="AJ138" s="163"/>
      <c r="AK138" s="163"/>
    </row>
    <row r="139" spans="1:37" ht="12" customHeight="1" outlineLevel="6">
      <c r="A139" s="132"/>
      <c r="B139" s="132"/>
      <c r="C139" s="132">
        <v>7</v>
      </c>
      <c r="D139" s="159" t="s">
        <v>2042</v>
      </c>
      <c r="E139" s="133"/>
      <c r="F139" s="133"/>
      <c r="G139" s="133"/>
      <c r="H139" s="133"/>
      <c r="I139" s="133"/>
      <c r="J139" s="133"/>
      <c r="K139" s="133" t="s">
        <v>1531</v>
      </c>
      <c r="L139" s="133"/>
      <c r="M139" s="133"/>
      <c r="N139" s="133"/>
      <c r="O139" s="133"/>
      <c r="P139" s="134">
        <v>44840</v>
      </c>
      <c r="Q139" s="134">
        <v>44841</v>
      </c>
      <c r="R139" s="133"/>
      <c r="S139" s="135">
        <v>2</v>
      </c>
      <c r="T139" s="135">
        <v>2</v>
      </c>
      <c r="U139" s="135">
        <v>2</v>
      </c>
      <c r="V139" s="135">
        <v>2</v>
      </c>
      <c r="W139" s="134">
        <v>44840</v>
      </c>
      <c r="X139" s="134">
        <v>44841</v>
      </c>
      <c r="Y139" s="136">
        <v>2</v>
      </c>
      <c r="Z139" s="137">
        <v>2</v>
      </c>
      <c r="AA139" s="135">
        <v>1</v>
      </c>
      <c r="AB139" s="209" t="s">
        <v>1623</v>
      </c>
      <c r="AC139" s="220"/>
      <c r="AD139" s="158">
        <v>1</v>
      </c>
      <c r="AE139" s="166">
        <v>1</v>
      </c>
      <c r="AF139" s="162"/>
      <c r="AG139" s="163" t="str">
        <f>"              " &amp; TEXT(AE139,"#0.00%") &amp; "/" &amp; TEXT(AD139,"#0.00% ") &amp; "" &amp; "GNB" &amp; "(이세림)" &amp; " " &amp; IF(P139="","",TEXT(P139,"M/D-")) &amp; IF(Q139="","",TEXT(Q139,"M/D")) &amp; " "</f>
        <v xml:space="preserve">              100.00%/100.00% GNB(이세림) 10/6-10/7 </v>
      </c>
      <c r="AH139" s="163"/>
      <c r="AI139" s="163"/>
      <c r="AJ139" s="163"/>
      <c r="AK139" s="163"/>
    </row>
    <row r="140" spans="1:37" ht="12" customHeight="1" outlineLevel="6">
      <c r="A140" s="132"/>
      <c r="B140" s="132"/>
      <c r="C140" s="132">
        <v>7</v>
      </c>
      <c r="D140" s="159" t="s">
        <v>2043</v>
      </c>
      <c r="E140" s="133"/>
      <c r="F140" s="133"/>
      <c r="G140" s="133"/>
      <c r="H140" s="133"/>
      <c r="I140" s="133"/>
      <c r="J140" s="133"/>
      <c r="K140" s="133" t="s">
        <v>1532</v>
      </c>
      <c r="L140" s="133"/>
      <c r="M140" s="133"/>
      <c r="N140" s="133"/>
      <c r="O140" s="133"/>
      <c r="P140" s="134">
        <v>44845</v>
      </c>
      <c r="Q140" s="134">
        <v>44846</v>
      </c>
      <c r="R140" s="133"/>
      <c r="S140" s="135">
        <v>2</v>
      </c>
      <c r="T140" s="135">
        <v>2</v>
      </c>
      <c r="U140" s="135">
        <v>2</v>
      </c>
      <c r="V140" s="135">
        <v>2</v>
      </c>
      <c r="W140" s="134">
        <v>44845</v>
      </c>
      <c r="X140" s="134">
        <v>44846</v>
      </c>
      <c r="Y140" s="136">
        <v>2</v>
      </c>
      <c r="Z140" s="137">
        <v>2</v>
      </c>
      <c r="AA140" s="135">
        <v>1</v>
      </c>
      <c r="AB140" s="209" t="s">
        <v>1623</v>
      </c>
      <c r="AC140" s="220"/>
      <c r="AD140" s="158">
        <v>1</v>
      </c>
      <c r="AE140" s="166">
        <v>1</v>
      </c>
      <c r="AF140" s="162"/>
      <c r="AG140" s="163" t="str">
        <f>"                         " &amp; TEXT(AE140,"#0.00%") &amp; "/" &amp; TEXT(AD140,"#0.00% ") &amp; "" &amp; "LNB" &amp; "(이세림)" &amp; " " &amp; IF(P140="","",TEXT(P140,"M/D-")) &amp; IF(Q140="","",TEXT(Q140,"M/D")) &amp; " "</f>
        <v xml:space="preserve">                         100.00%/100.00% LNB(이세림) 10/11-10/12 </v>
      </c>
      <c r="AH140" s="163"/>
      <c r="AI140" s="163"/>
      <c r="AJ140" s="163"/>
      <c r="AK140" s="163"/>
    </row>
    <row r="141" spans="1:37" ht="12" customHeight="1" outlineLevel="6">
      <c r="A141" s="132"/>
      <c r="B141" s="132"/>
      <c r="C141" s="132">
        <v>7</v>
      </c>
      <c r="D141" s="159" t="s">
        <v>2044</v>
      </c>
      <c r="E141" s="133"/>
      <c r="F141" s="133"/>
      <c r="G141" s="133"/>
      <c r="H141" s="133"/>
      <c r="I141" s="133"/>
      <c r="J141" s="133"/>
      <c r="K141" s="133" t="s">
        <v>1533</v>
      </c>
      <c r="L141" s="133"/>
      <c r="M141" s="133"/>
      <c r="N141" s="133"/>
      <c r="O141" s="133"/>
      <c r="P141" s="134">
        <v>44847</v>
      </c>
      <c r="Q141" s="134">
        <v>44851</v>
      </c>
      <c r="R141" s="133"/>
      <c r="S141" s="135">
        <v>3</v>
      </c>
      <c r="T141" s="135">
        <v>3</v>
      </c>
      <c r="U141" s="135">
        <v>3</v>
      </c>
      <c r="V141" s="135">
        <v>3</v>
      </c>
      <c r="W141" s="134">
        <v>44847</v>
      </c>
      <c r="X141" s="134">
        <v>44851</v>
      </c>
      <c r="Y141" s="136">
        <v>3</v>
      </c>
      <c r="Z141" s="137">
        <v>3</v>
      </c>
      <c r="AA141" s="135"/>
      <c r="AB141" s="209" t="s">
        <v>1623</v>
      </c>
      <c r="AC141" s="220"/>
      <c r="AD141" s="158">
        <v>1</v>
      </c>
      <c r="AE141" s="166">
        <v>1</v>
      </c>
      <c r="AF141" s="162"/>
      <c r="AG141" s="163" t="str">
        <f>"                                   " &amp; TEXT(AE141,"#0.00%") &amp; "/" &amp; TEXT(AD141,"#0.00% ") &amp; "" &amp; "표준페이지" &amp; "(이세림)" &amp; " " &amp; IF(P141="","",TEXT(P141,"M/D-")) &amp; IF(Q141="","",TEXT(Q141,"M/D")) &amp; " "</f>
        <v xml:space="preserve">                                   100.00%/100.00% 표준페이지(이세림) 10/13-10/17 </v>
      </c>
      <c r="AH141" s="163"/>
      <c r="AI141" s="163"/>
      <c r="AJ141" s="163"/>
      <c r="AK141" s="163"/>
    </row>
    <row r="142" spans="1:37" ht="12" customHeight="1" outlineLevel="3">
      <c r="A142" s="132"/>
      <c r="B142" s="132" t="s">
        <v>1363</v>
      </c>
      <c r="C142" s="132">
        <v>4</v>
      </c>
      <c r="D142" s="159" t="s">
        <v>2045</v>
      </c>
      <c r="E142" s="133"/>
      <c r="F142" s="133"/>
      <c r="G142" s="133"/>
      <c r="H142" s="133" t="s">
        <v>1534</v>
      </c>
      <c r="I142" s="133"/>
      <c r="J142" s="133"/>
      <c r="K142" s="133"/>
      <c r="L142" s="133"/>
      <c r="M142" s="133"/>
      <c r="N142" s="133"/>
      <c r="O142" s="133"/>
      <c r="P142" s="134">
        <v>44873</v>
      </c>
      <c r="Q142" s="134">
        <v>44925</v>
      </c>
      <c r="R142" s="133"/>
      <c r="S142" s="135">
        <v>33</v>
      </c>
      <c r="T142" s="135">
        <v>0</v>
      </c>
      <c r="U142" s="135">
        <v>39</v>
      </c>
      <c r="V142" s="135">
        <v>0</v>
      </c>
      <c r="W142" s="134"/>
      <c r="X142" s="134"/>
      <c r="Y142" s="136">
        <v>0</v>
      </c>
      <c r="Z142" s="137">
        <v>0</v>
      </c>
      <c r="AA142" s="135"/>
      <c r="AB142" s="209" t="s">
        <v>1623</v>
      </c>
      <c r="AC142" s="220"/>
      <c r="AD142" s="158">
        <v>0</v>
      </c>
      <c r="AE142" s="192">
        <v>0</v>
      </c>
      <c r="AF142" s="162"/>
      <c r="AG142" s="163"/>
      <c r="AH142" s="163" t="str">
        <f>"               " &amp; TEXT(AE142,"#0.00%") &amp; "/" &amp; TEXT(AD142,"#0.00% ") &amp; ""</f>
        <v xml:space="preserve">               0.00%/0.00% </v>
      </c>
      <c r="AI142" s="163" t="str">
        <f>"                                                              " &amp; "인터페이스" &amp; "(이세림)" &amp; " " &amp; IF(P142="","",TEXT(P142,"M/D-")) &amp; IF(Q142="","",TEXT(Q142,"M/D")) &amp; " "</f>
        <v xml:space="preserve">                                                              인터페이스(이세림) 11/8-12/30 </v>
      </c>
      <c r="AJ142" s="163"/>
      <c r="AK142" s="163"/>
    </row>
    <row r="143" spans="1:37" ht="12" customHeight="1" outlineLevel="4">
      <c r="A143" s="132"/>
      <c r="B143" s="132" t="s">
        <v>1363</v>
      </c>
      <c r="C143" s="132">
        <v>5</v>
      </c>
      <c r="D143" s="159" t="s">
        <v>2046</v>
      </c>
      <c r="E143" s="133"/>
      <c r="F143" s="133"/>
      <c r="G143" s="133"/>
      <c r="H143" s="133"/>
      <c r="I143" s="133" t="s">
        <v>1535</v>
      </c>
      <c r="J143" s="133"/>
      <c r="K143" s="133"/>
      <c r="L143" s="133"/>
      <c r="M143" s="133"/>
      <c r="N143" s="133"/>
      <c r="O143" s="133"/>
      <c r="P143" s="134">
        <v>44922</v>
      </c>
      <c r="Q143" s="134">
        <v>44925</v>
      </c>
      <c r="R143" s="133"/>
      <c r="S143" s="135">
        <v>7</v>
      </c>
      <c r="T143" s="135">
        <v>0</v>
      </c>
      <c r="U143" s="135">
        <v>4</v>
      </c>
      <c r="V143" s="135">
        <v>0</v>
      </c>
      <c r="W143" s="134"/>
      <c r="X143" s="134"/>
      <c r="Y143" s="136">
        <v>0</v>
      </c>
      <c r="Z143" s="137">
        <v>0</v>
      </c>
      <c r="AA143" s="135"/>
      <c r="AB143" s="209" t="s">
        <v>1623</v>
      </c>
      <c r="AC143" s="220"/>
      <c r="AD143" s="158">
        <v>0</v>
      </c>
      <c r="AE143" s="192">
        <v>0</v>
      </c>
      <c r="AF143" s="162"/>
      <c r="AG143" s="163"/>
      <c r="AH143" s="163"/>
      <c r="AI143" s="163" t="str">
        <f>"                                                      " &amp; TEXT(AE143,"#0.00%") &amp; "/" &amp; TEXT(AD143,"#0.00% ") &amp; "" &amp; "내부인터페이스" &amp; "(이세림)" &amp; " " &amp; IF(P143="","",TEXT(P143,"M/D-")) &amp; IF(Q143="","",TEXT(Q143,"M/D")) &amp; " "</f>
        <v xml:space="preserve">                                                      0.00%/0.00% 내부인터페이스(이세림) 12/27-12/30 </v>
      </c>
      <c r="AJ143" s="163"/>
      <c r="AK143" s="163"/>
    </row>
    <row r="144" spans="1:37" ht="12" customHeight="1" outlineLevel="5">
      <c r="A144" s="132"/>
      <c r="B144" s="132"/>
      <c r="C144" s="132">
        <v>6</v>
      </c>
      <c r="D144" s="159" t="s">
        <v>2047</v>
      </c>
      <c r="E144" s="133"/>
      <c r="F144" s="133"/>
      <c r="G144" s="133"/>
      <c r="H144" s="133"/>
      <c r="I144" s="133"/>
      <c r="J144" s="133" t="s">
        <v>1536</v>
      </c>
      <c r="K144" s="133"/>
      <c r="L144" s="133"/>
      <c r="M144" s="133"/>
      <c r="N144" s="133"/>
      <c r="O144" s="133"/>
      <c r="P144" s="134">
        <v>44922</v>
      </c>
      <c r="Q144" s="134">
        <v>44925</v>
      </c>
      <c r="R144" s="133"/>
      <c r="S144" s="135">
        <v>4</v>
      </c>
      <c r="T144" s="135">
        <v>0</v>
      </c>
      <c r="U144" s="135">
        <v>4</v>
      </c>
      <c r="V144" s="135">
        <v>0</v>
      </c>
      <c r="W144" s="134"/>
      <c r="X144" s="134"/>
      <c r="Y144" s="136">
        <v>0</v>
      </c>
      <c r="Z144" s="137">
        <v>0</v>
      </c>
      <c r="AA144" s="135"/>
      <c r="AB144" s="209" t="s">
        <v>1623</v>
      </c>
      <c r="AC144" s="220"/>
      <c r="AD144" s="158">
        <v>0</v>
      </c>
      <c r="AE144" s="166">
        <v>0</v>
      </c>
      <c r="AF144" s="162"/>
      <c r="AG144" s="163"/>
      <c r="AH144" s="163"/>
      <c r="AI144" s="163" t="str">
        <f>"                                                      " &amp; TEXT(AE144,"#0.00%") &amp; "/" &amp; TEXT(AD144,"#0.00% ") &amp; "" &amp; "인사발령 재실행" &amp; "(이세림)" &amp; " " &amp; IF(P144="","",TEXT(P144,"M/D-")) &amp; IF(Q144="","",TEXT(Q144,"M/D")) &amp; " "</f>
        <v xml:space="preserve">                                                      0.00%/0.00% 인사발령 재실행(이세림) 12/27-12/30 </v>
      </c>
      <c r="AJ144" s="163"/>
      <c r="AK144" s="163"/>
    </row>
    <row r="145" spans="1:37" ht="12" customHeight="1" outlineLevel="5">
      <c r="A145" s="132"/>
      <c r="B145" s="132"/>
      <c r="C145" s="132">
        <v>6</v>
      </c>
      <c r="D145" s="159" t="s">
        <v>2048</v>
      </c>
      <c r="E145" s="133"/>
      <c r="F145" s="133"/>
      <c r="G145" s="133"/>
      <c r="H145" s="133"/>
      <c r="I145" s="133"/>
      <c r="J145" s="133" t="s">
        <v>1537</v>
      </c>
      <c r="K145" s="133"/>
      <c r="L145" s="133"/>
      <c r="M145" s="133"/>
      <c r="N145" s="133"/>
      <c r="O145" s="133"/>
      <c r="P145" s="134">
        <v>44922</v>
      </c>
      <c r="Q145" s="134">
        <v>44922</v>
      </c>
      <c r="R145" s="133"/>
      <c r="S145" s="135">
        <v>1</v>
      </c>
      <c r="T145" s="135">
        <v>0</v>
      </c>
      <c r="U145" s="135">
        <v>1</v>
      </c>
      <c r="V145" s="135">
        <v>0</v>
      </c>
      <c r="W145" s="134"/>
      <c r="X145" s="134"/>
      <c r="Y145" s="136">
        <v>0</v>
      </c>
      <c r="Z145" s="137">
        <v>0</v>
      </c>
      <c r="AA145" s="135">
        <v>1</v>
      </c>
      <c r="AB145" s="209" t="s">
        <v>1623</v>
      </c>
      <c r="AC145" s="220"/>
      <c r="AD145" s="158">
        <v>0</v>
      </c>
      <c r="AE145" s="166">
        <v>0</v>
      </c>
      <c r="AF145" s="162"/>
      <c r="AG145" s="163"/>
      <c r="AH145" s="163"/>
      <c r="AI145" s="163" t="str">
        <f>"                                                      " &amp; TEXT(AE145,"#0.00%") &amp; "/" &amp; TEXT(AD145,"#0.00% ") &amp; "" &amp; "조직개편 재실행" &amp; "(이세림)" &amp; " " &amp; IF(P145="","",TEXT(P145,"M/D-")) &amp; IF(Q145="","",TEXT(Q145,"M/D")) &amp; " "</f>
        <v xml:space="preserve">                                                      0.00%/0.00% 조직개편 재실행(이세림) 12/27-12/27 </v>
      </c>
      <c r="AJ145" s="163"/>
      <c r="AK145" s="163"/>
    </row>
    <row r="146" spans="1:37" ht="12" customHeight="1" outlineLevel="5">
      <c r="A146" s="132"/>
      <c r="B146" s="132"/>
      <c r="C146" s="132">
        <v>6</v>
      </c>
      <c r="D146" s="159" t="s">
        <v>2049</v>
      </c>
      <c r="E146" s="133"/>
      <c r="F146" s="133"/>
      <c r="G146" s="133"/>
      <c r="H146" s="133"/>
      <c r="I146" s="133"/>
      <c r="J146" s="133" t="s">
        <v>1538</v>
      </c>
      <c r="K146" s="133"/>
      <c r="L146" s="133"/>
      <c r="M146" s="133"/>
      <c r="N146" s="133"/>
      <c r="O146" s="133"/>
      <c r="P146" s="134">
        <v>44923</v>
      </c>
      <c r="Q146" s="134">
        <v>44923</v>
      </c>
      <c r="R146" s="133"/>
      <c r="S146" s="135">
        <v>1</v>
      </c>
      <c r="T146" s="135">
        <v>0</v>
      </c>
      <c r="U146" s="135">
        <v>1</v>
      </c>
      <c r="V146" s="135">
        <v>0</v>
      </c>
      <c r="W146" s="134"/>
      <c r="X146" s="134"/>
      <c r="Y146" s="136">
        <v>0</v>
      </c>
      <c r="Z146" s="137">
        <v>0</v>
      </c>
      <c r="AA146" s="135">
        <v>1</v>
      </c>
      <c r="AB146" s="209" t="s">
        <v>1623</v>
      </c>
      <c r="AC146" s="220"/>
      <c r="AD146" s="158">
        <v>0</v>
      </c>
      <c r="AE146" s="166">
        <v>0</v>
      </c>
      <c r="AF146" s="162"/>
      <c r="AG146" s="163"/>
      <c r="AH146" s="163"/>
      <c r="AI146" s="163" t="str">
        <f>"                                                        " &amp; TEXT(AE146,"#0.00%") &amp; "/" &amp; TEXT(AD146,"#0.00% ") &amp; "" &amp; "인사통계 재실행" &amp; "(이세림)" &amp; " " &amp; IF(P146="","",TEXT(P146,"M/D-")) &amp; IF(Q146="","",TEXT(Q146,"M/D")) &amp; " "</f>
        <v xml:space="preserve">                                                        0.00%/0.00% 인사통계 재실행(이세림) 12/28-12/28 </v>
      </c>
      <c r="AJ146" s="163"/>
      <c r="AK146" s="163"/>
    </row>
    <row r="147" spans="1:37" ht="12" customHeight="1" outlineLevel="5">
      <c r="A147" s="132"/>
      <c r="B147" s="132"/>
      <c r="C147" s="132">
        <v>6</v>
      </c>
      <c r="D147" s="159" t="s">
        <v>2050</v>
      </c>
      <c r="E147" s="133"/>
      <c r="F147" s="133"/>
      <c r="G147" s="133"/>
      <c r="H147" s="133"/>
      <c r="I147" s="133"/>
      <c r="J147" s="133" t="s">
        <v>1539</v>
      </c>
      <c r="K147" s="133"/>
      <c r="L147" s="133"/>
      <c r="M147" s="133"/>
      <c r="N147" s="133"/>
      <c r="O147" s="133"/>
      <c r="P147" s="134">
        <v>44924</v>
      </c>
      <c r="Q147" s="134">
        <v>44924</v>
      </c>
      <c r="R147" s="133"/>
      <c r="S147" s="135">
        <v>1</v>
      </c>
      <c r="T147" s="135">
        <v>0</v>
      </c>
      <c r="U147" s="135">
        <v>1</v>
      </c>
      <c r="V147" s="135">
        <v>0</v>
      </c>
      <c r="W147" s="134"/>
      <c r="X147" s="134"/>
      <c r="Y147" s="136">
        <v>0</v>
      </c>
      <c r="Z147" s="137">
        <v>0</v>
      </c>
      <c r="AA147" s="135">
        <v>1</v>
      </c>
      <c r="AB147" s="209" t="s">
        <v>1623</v>
      </c>
      <c r="AC147" s="220"/>
      <c r="AD147" s="158">
        <v>0</v>
      </c>
      <c r="AE147" s="166">
        <v>0</v>
      </c>
      <c r="AF147" s="162"/>
      <c r="AG147" s="163"/>
      <c r="AH147" s="163"/>
      <c r="AI147" s="163" t="str">
        <f>"                                                          " &amp; TEXT(AE147,"#0.00%") &amp; "/" &amp; TEXT(AD147,"#0.00% ") &amp; "" &amp; "프로젝트 통계 재실행" &amp; "(이세림)" &amp; " " &amp; IF(P147="","",TEXT(P147,"M/D-")) &amp; IF(Q147="","",TEXT(Q147,"M/D")) &amp; " "</f>
        <v xml:space="preserve">                                                          0.00%/0.00% 프로젝트 통계 재실행(이세림) 12/29-12/29 </v>
      </c>
      <c r="AJ147" s="163"/>
      <c r="AK147" s="163"/>
    </row>
    <row r="148" spans="1:37" ht="12" customHeight="1" outlineLevel="4">
      <c r="A148" s="132">
        <v>0</v>
      </c>
      <c r="B148" s="132" t="s">
        <v>1363</v>
      </c>
      <c r="C148" s="132">
        <v>5</v>
      </c>
      <c r="D148" s="159" t="s">
        <v>2051</v>
      </c>
      <c r="E148" s="133"/>
      <c r="F148" s="133"/>
      <c r="G148" s="133"/>
      <c r="H148" s="133"/>
      <c r="I148" s="133" t="s">
        <v>1540</v>
      </c>
      <c r="J148" s="133"/>
      <c r="K148" s="133"/>
      <c r="L148" s="133"/>
      <c r="M148" s="133"/>
      <c r="N148" s="133"/>
      <c r="O148" s="133"/>
      <c r="P148" s="134">
        <v>44890</v>
      </c>
      <c r="Q148" s="134">
        <v>44897</v>
      </c>
      <c r="R148" s="133"/>
      <c r="S148" s="135">
        <v>6</v>
      </c>
      <c r="T148" s="135">
        <v>0</v>
      </c>
      <c r="U148" s="135">
        <v>6</v>
      </c>
      <c r="V148" s="135">
        <v>0</v>
      </c>
      <c r="W148" s="134"/>
      <c r="X148" s="134"/>
      <c r="Y148" s="136">
        <v>0</v>
      </c>
      <c r="Z148" s="137">
        <v>0</v>
      </c>
      <c r="AA148" s="135"/>
      <c r="AB148" s="209" t="s">
        <v>1623</v>
      </c>
      <c r="AC148" s="220"/>
      <c r="AD148" s="158">
        <v>0</v>
      </c>
      <c r="AE148" s="192">
        <v>0</v>
      </c>
      <c r="AF148" s="162"/>
      <c r="AG148" s="163"/>
      <c r="AH148" s="163" t="str">
        <f>"                                                   " &amp; TEXT(AE148,"#0.00%") &amp; "/" &amp; TEXT(AD148,"#0.00% ") &amp; "" &amp; "외부인터페이스" &amp; "(이세림)" &amp; " " &amp; IF(P148="","",TEXT(P148,"M/D-")) &amp; IF(Q148="","",TEXT(Q148,"M/D")) &amp; " "</f>
        <v xml:space="preserve">                                                   0.00%/0.00% 외부인터페이스(이세림) 11/25-12/2 </v>
      </c>
      <c r="AI148" s="163"/>
      <c r="AJ148" s="163"/>
      <c r="AK148" s="163"/>
    </row>
    <row r="149" spans="1:37" ht="12" customHeight="1" outlineLevel="5">
      <c r="A149" s="132"/>
      <c r="B149" s="132"/>
      <c r="C149" s="132">
        <v>6</v>
      </c>
      <c r="D149" s="159" t="s">
        <v>2052</v>
      </c>
      <c r="E149" s="133"/>
      <c r="F149" s="133"/>
      <c r="G149" s="133"/>
      <c r="H149" s="133"/>
      <c r="I149" s="133"/>
      <c r="J149" s="133" t="s">
        <v>1541</v>
      </c>
      <c r="K149" s="133"/>
      <c r="L149" s="133"/>
      <c r="M149" s="133"/>
      <c r="N149" s="133"/>
      <c r="O149" s="133"/>
      <c r="P149" s="134">
        <v>44890</v>
      </c>
      <c r="Q149" s="134">
        <v>44894</v>
      </c>
      <c r="R149" s="133"/>
      <c r="S149" s="135">
        <v>3</v>
      </c>
      <c r="T149" s="135">
        <v>0</v>
      </c>
      <c r="U149" s="135">
        <v>3</v>
      </c>
      <c r="V149" s="135">
        <v>0</v>
      </c>
      <c r="W149" s="134"/>
      <c r="X149" s="134"/>
      <c r="Y149" s="136">
        <v>0</v>
      </c>
      <c r="Z149" s="137">
        <v>0</v>
      </c>
      <c r="AA149" s="135"/>
      <c r="AB149" s="209" t="s">
        <v>1623</v>
      </c>
      <c r="AC149" s="220"/>
      <c r="AD149" s="158">
        <v>0</v>
      </c>
      <c r="AE149" s="166">
        <v>0</v>
      </c>
      <c r="AF149" s="162"/>
      <c r="AG149" s="163"/>
      <c r="AH149" s="163" t="str">
        <f>"                                                   " &amp; TEXT(AE149,"#0.00%") &amp; "/" &amp; TEXT(AD149,"#0.00% ") &amp; "" &amp; "인사정보" &amp; "(이세림)" &amp; " " &amp; IF(P149="","",TEXT(P149,"M/D-")) &amp; IF(Q149="","",TEXT(Q149,"M/D")) &amp; " "</f>
        <v xml:space="preserve">                                                   0.00%/0.00% 인사정보(이세림) 11/25-11/29 </v>
      </c>
      <c r="AI149" s="163"/>
      <c r="AJ149" s="163"/>
      <c r="AK149" s="163"/>
    </row>
    <row r="150" spans="1:37" ht="12" customHeight="1" outlineLevel="5">
      <c r="A150" s="132"/>
      <c r="B150" s="132"/>
      <c r="C150" s="132">
        <v>6</v>
      </c>
      <c r="D150" s="159" t="s">
        <v>2053</v>
      </c>
      <c r="E150" s="133"/>
      <c r="F150" s="133"/>
      <c r="G150" s="133"/>
      <c r="H150" s="133"/>
      <c r="I150" s="133"/>
      <c r="J150" s="133" t="s">
        <v>1542</v>
      </c>
      <c r="K150" s="133"/>
      <c r="L150" s="133"/>
      <c r="M150" s="133"/>
      <c r="N150" s="133"/>
      <c r="O150" s="133"/>
      <c r="P150" s="134">
        <v>44895</v>
      </c>
      <c r="Q150" s="134">
        <v>44897</v>
      </c>
      <c r="R150" s="133"/>
      <c r="S150" s="135">
        <v>3</v>
      </c>
      <c r="T150" s="135">
        <v>0</v>
      </c>
      <c r="U150" s="135">
        <v>3</v>
      </c>
      <c r="V150" s="135">
        <v>0</v>
      </c>
      <c r="W150" s="134"/>
      <c r="X150" s="134"/>
      <c r="Y150" s="136">
        <v>0</v>
      </c>
      <c r="Z150" s="137">
        <v>0</v>
      </c>
      <c r="AA150" s="135"/>
      <c r="AB150" s="209" t="s">
        <v>1623</v>
      </c>
      <c r="AC150" s="220"/>
      <c r="AD150" s="158">
        <v>0</v>
      </c>
      <c r="AE150" s="166">
        <v>0</v>
      </c>
      <c r="AF150" s="162"/>
      <c r="AG150" s="163"/>
      <c r="AH150" s="163" t="str">
        <f>"                                                              " &amp; TEXT(AE150,"#0.00%") &amp; "/" &amp; TEXT(AD150,"#0.00% ") &amp; "" &amp; "조직정보" &amp; "(이세림)" &amp; " " &amp; IF(P150="","",TEXT(P150,"M/D-")) &amp; IF(Q150="","",TEXT(Q150,"M/D")) &amp; " "</f>
        <v xml:space="preserve">                                                              0.00%/0.00% 조직정보(이세림) 11/30-12/2 </v>
      </c>
      <c r="AI150" s="163"/>
      <c r="AJ150" s="163"/>
      <c r="AK150" s="163"/>
    </row>
    <row r="151" spans="1:37" ht="12" customHeight="1" outlineLevel="4">
      <c r="A151" s="132"/>
      <c r="B151" s="132" t="s">
        <v>1363</v>
      </c>
      <c r="C151" s="132">
        <v>5</v>
      </c>
      <c r="D151" s="159" t="s">
        <v>2054</v>
      </c>
      <c r="E151" s="133"/>
      <c r="F151" s="133"/>
      <c r="G151" s="133"/>
      <c r="H151" s="133"/>
      <c r="I151" s="133" t="s">
        <v>1543</v>
      </c>
      <c r="J151" s="133"/>
      <c r="K151" s="133"/>
      <c r="L151" s="133"/>
      <c r="M151" s="133"/>
      <c r="N151" s="133"/>
      <c r="O151" s="133"/>
      <c r="P151" s="134">
        <v>44873</v>
      </c>
      <c r="Q151" s="134">
        <v>44893</v>
      </c>
      <c r="R151" s="133"/>
      <c r="S151" s="135">
        <v>20</v>
      </c>
      <c r="T151" s="135">
        <v>0</v>
      </c>
      <c r="U151" s="135">
        <v>15</v>
      </c>
      <c r="V151" s="135">
        <v>0</v>
      </c>
      <c r="W151" s="134"/>
      <c r="X151" s="134"/>
      <c r="Y151" s="136">
        <v>0</v>
      </c>
      <c r="Z151" s="137">
        <v>0</v>
      </c>
      <c r="AA151" s="135"/>
      <c r="AB151" s="209" t="s">
        <v>1623</v>
      </c>
      <c r="AC151" s="220"/>
      <c r="AD151" s="158">
        <v>0</v>
      </c>
      <c r="AE151" s="192">
        <v>0</v>
      </c>
      <c r="AF151" s="162"/>
      <c r="AG151" s="163"/>
      <c r="AH151" s="163" t="str">
        <f>"               " &amp; TEXT(AE151,"#0.00%") &amp; "/" &amp; TEXT(AD151,"#0.00% ") &amp; "" &amp; "배치서비스" &amp; "(이세림)" &amp; " " &amp; IF(P151="","",TEXT(P151,"M/D-")) &amp; IF(Q151="","",TEXT(Q151,"M/D")) &amp; " "</f>
        <v xml:space="preserve">               0.00%/0.00% 배치서비스(이세림) 11/8-11/28 </v>
      </c>
      <c r="AI151" s="163"/>
      <c r="AJ151" s="163"/>
      <c r="AK151" s="163"/>
    </row>
    <row r="152" spans="1:37" ht="12" customHeight="1" outlineLevel="5">
      <c r="A152" s="132"/>
      <c r="B152" s="132"/>
      <c r="C152" s="132">
        <v>6</v>
      </c>
      <c r="D152" s="159" t="s">
        <v>2055</v>
      </c>
      <c r="E152" s="133"/>
      <c r="F152" s="133"/>
      <c r="G152" s="133"/>
      <c r="H152" s="133"/>
      <c r="I152" s="133"/>
      <c r="J152" s="133" t="s">
        <v>1544</v>
      </c>
      <c r="K152" s="133"/>
      <c r="L152" s="133"/>
      <c r="M152" s="133"/>
      <c r="N152" s="133"/>
      <c r="O152" s="133"/>
      <c r="P152" s="134">
        <v>44883</v>
      </c>
      <c r="Q152" s="134">
        <v>44889</v>
      </c>
      <c r="R152" s="133"/>
      <c r="S152" s="135">
        <v>5</v>
      </c>
      <c r="T152" s="135">
        <v>0</v>
      </c>
      <c r="U152" s="135">
        <v>5</v>
      </c>
      <c r="V152" s="135">
        <v>0</v>
      </c>
      <c r="W152" s="134"/>
      <c r="X152" s="134"/>
      <c r="Y152" s="136">
        <v>0</v>
      </c>
      <c r="Z152" s="137">
        <v>0</v>
      </c>
      <c r="AA152" s="135"/>
      <c r="AB152" s="209" t="s">
        <v>1623</v>
      </c>
      <c r="AC152" s="220"/>
      <c r="AD152" s="158">
        <v>0</v>
      </c>
      <c r="AE152" s="166">
        <v>0</v>
      </c>
      <c r="AF152" s="162"/>
      <c r="AG152" s="163"/>
      <c r="AH152" s="163" t="str">
        <f>"                                    " &amp; TEXT(AE152,"#0.00%") &amp; "/" &amp; TEXT(AD152,"#0.00% ") &amp; "" &amp; "인사발령" &amp; "(이세림)" &amp; " " &amp; IF(P152="","",TEXT(P152,"M/D-")) &amp; IF(Q152="","",TEXT(Q152,"M/D")) &amp; " "</f>
        <v xml:space="preserve">                                    0.00%/0.00% 인사발령(이세림) 11/18-11/24 </v>
      </c>
      <c r="AI152" s="163"/>
      <c r="AJ152" s="163"/>
      <c r="AK152" s="163"/>
    </row>
    <row r="153" spans="1:37" ht="12" customHeight="1" outlineLevel="5">
      <c r="A153" s="132"/>
      <c r="B153" s="132"/>
      <c r="C153" s="132">
        <v>6</v>
      </c>
      <c r="D153" s="159" t="s">
        <v>2056</v>
      </c>
      <c r="E153" s="133"/>
      <c r="F153" s="133"/>
      <c r="G153" s="133"/>
      <c r="H153" s="133"/>
      <c r="I153" s="133"/>
      <c r="J153" s="133" t="s">
        <v>1545</v>
      </c>
      <c r="K153" s="133"/>
      <c r="L153" s="133"/>
      <c r="M153" s="133"/>
      <c r="N153" s="133"/>
      <c r="O153" s="133"/>
      <c r="P153" s="134">
        <v>44873</v>
      </c>
      <c r="Q153" s="134">
        <v>44875</v>
      </c>
      <c r="R153" s="133"/>
      <c r="S153" s="135">
        <v>3</v>
      </c>
      <c r="T153" s="135">
        <v>0</v>
      </c>
      <c r="U153" s="135">
        <v>3</v>
      </c>
      <c r="V153" s="135">
        <v>0</v>
      </c>
      <c r="W153" s="134"/>
      <c r="X153" s="134"/>
      <c r="Y153" s="136">
        <v>0</v>
      </c>
      <c r="Z153" s="137">
        <v>0</v>
      </c>
      <c r="AA153" s="135"/>
      <c r="AB153" s="209" t="s">
        <v>1623</v>
      </c>
      <c r="AC153" s="220"/>
      <c r="AD153" s="158">
        <v>0</v>
      </c>
      <c r="AE153" s="166">
        <v>0</v>
      </c>
      <c r="AF153" s="162"/>
      <c r="AG153" s="163"/>
      <c r="AH153" s="163" t="str">
        <f>"               " &amp; TEXT(AE153,"#0.00%") &amp; "/" &amp; TEXT(AD153,"#0.00% ") &amp; "" &amp; "조직개편" &amp; "(이세림)" &amp; " " &amp; IF(P153="","",TEXT(P153,"M/D-")) &amp; IF(Q153="","",TEXT(Q153,"M/D")) &amp; " "</f>
        <v xml:space="preserve">               0.00%/0.00% 조직개편(이세림) 11/8-11/10 </v>
      </c>
      <c r="AI153" s="163"/>
      <c r="AJ153" s="163"/>
      <c r="AK153" s="163"/>
    </row>
    <row r="154" spans="1:37" ht="12" customHeight="1" outlineLevel="5">
      <c r="A154" s="132"/>
      <c r="B154" s="132"/>
      <c r="C154" s="132">
        <v>6</v>
      </c>
      <c r="D154" s="159" t="s">
        <v>2057</v>
      </c>
      <c r="E154" s="133"/>
      <c r="F154" s="133"/>
      <c r="G154" s="133"/>
      <c r="H154" s="133"/>
      <c r="I154" s="133"/>
      <c r="J154" s="133" t="s">
        <v>1546</v>
      </c>
      <c r="K154" s="133"/>
      <c r="L154" s="133"/>
      <c r="M154" s="133"/>
      <c r="N154" s="133"/>
      <c r="O154" s="133"/>
      <c r="P154" s="134">
        <v>44876</v>
      </c>
      <c r="Q154" s="134">
        <v>44880</v>
      </c>
      <c r="R154" s="133"/>
      <c r="S154" s="135">
        <v>3</v>
      </c>
      <c r="T154" s="135">
        <v>0</v>
      </c>
      <c r="U154" s="135">
        <v>3</v>
      </c>
      <c r="V154" s="135">
        <v>0</v>
      </c>
      <c r="W154" s="134"/>
      <c r="X154" s="134"/>
      <c r="Y154" s="136">
        <v>0</v>
      </c>
      <c r="Z154" s="137">
        <v>0</v>
      </c>
      <c r="AA154" s="135"/>
      <c r="AB154" s="209" t="s">
        <v>1623</v>
      </c>
      <c r="AC154" s="220"/>
      <c r="AD154" s="158">
        <v>0</v>
      </c>
      <c r="AE154" s="166">
        <v>0</v>
      </c>
      <c r="AF154" s="162"/>
      <c r="AG154" s="163"/>
      <c r="AH154" s="163" t="str">
        <f>"                     " &amp; TEXT(AE154,"#0.00%") &amp; "/" &amp; TEXT(AD154,"#0.00% ") &amp; "" &amp; "인력통계" &amp; "(이세림)" &amp; " " &amp; IF(P154="","",TEXT(P154,"M/D-")) &amp; IF(Q154="","",TEXT(Q154,"M/D")) &amp; " "</f>
        <v xml:space="preserve">                     0.00%/0.00% 인력통계(이세림) 11/11-11/15 </v>
      </c>
      <c r="AI154" s="163"/>
      <c r="AJ154" s="163"/>
      <c r="AK154" s="163"/>
    </row>
    <row r="155" spans="1:37" ht="12" customHeight="1" outlineLevel="5">
      <c r="A155" s="132"/>
      <c r="B155" s="132"/>
      <c r="C155" s="132">
        <v>6</v>
      </c>
      <c r="D155" s="159" t="s">
        <v>2058</v>
      </c>
      <c r="E155" s="133"/>
      <c r="F155" s="133"/>
      <c r="G155" s="133"/>
      <c r="H155" s="133"/>
      <c r="I155" s="133"/>
      <c r="J155" s="133" t="s">
        <v>1547</v>
      </c>
      <c r="K155" s="133"/>
      <c r="L155" s="133"/>
      <c r="M155" s="133"/>
      <c r="N155" s="133"/>
      <c r="O155" s="133"/>
      <c r="P155" s="134">
        <v>44881</v>
      </c>
      <c r="Q155" s="134">
        <v>44883</v>
      </c>
      <c r="R155" s="133"/>
      <c r="S155" s="135">
        <v>3</v>
      </c>
      <c r="T155" s="135">
        <v>0</v>
      </c>
      <c r="U155" s="135">
        <v>3</v>
      </c>
      <c r="V155" s="135">
        <v>0</v>
      </c>
      <c r="W155" s="134"/>
      <c r="X155" s="134"/>
      <c r="Y155" s="136">
        <v>0</v>
      </c>
      <c r="Z155" s="137">
        <v>0</v>
      </c>
      <c r="AA155" s="135"/>
      <c r="AB155" s="209" t="s">
        <v>1623</v>
      </c>
      <c r="AC155" s="220"/>
      <c r="AD155" s="158">
        <v>0</v>
      </c>
      <c r="AE155" s="166">
        <v>0</v>
      </c>
      <c r="AF155" s="162"/>
      <c r="AG155" s="163"/>
      <c r="AH155" s="163" t="str">
        <f>"                                " &amp; TEXT(AE155,"#0.00%") &amp; "/" &amp; TEXT(AD155,"#0.00% ") &amp; "" &amp; "프로젝트 통계" &amp; "(이세림)" &amp; " " &amp; IF(P155="","",TEXT(P155,"M/D-")) &amp; IF(Q155="","",TEXT(Q155,"M/D")) &amp; " "</f>
        <v xml:space="preserve">                                0.00%/0.00% 프로젝트 통계(이세림) 11/16-11/18 </v>
      </c>
      <c r="AI155" s="163"/>
      <c r="AJ155" s="163"/>
      <c r="AK155" s="163"/>
    </row>
    <row r="156" spans="1:37" ht="12" customHeight="1" outlineLevel="5">
      <c r="A156" s="132"/>
      <c r="B156" s="132"/>
      <c r="C156" s="132">
        <v>6</v>
      </c>
      <c r="D156" s="159" t="s">
        <v>2059</v>
      </c>
      <c r="E156" s="133"/>
      <c r="F156" s="133"/>
      <c r="G156" s="133"/>
      <c r="H156" s="133"/>
      <c r="I156" s="133"/>
      <c r="J156" s="133" t="s">
        <v>1548</v>
      </c>
      <c r="K156" s="133"/>
      <c r="L156" s="133"/>
      <c r="M156" s="133"/>
      <c r="N156" s="133"/>
      <c r="O156" s="133"/>
      <c r="P156" s="134">
        <v>44886</v>
      </c>
      <c r="Q156" s="134">
        <v>44888</v>
      </c>
      <c r="R156" s="133"/>
      <c r="S156" s="135">
        <v>3</v>
      </c>
      <c r="T156" s="135">
        <v>0</v>
      </c>
      <c r="U156" s="135">
        <v>3</v>
      </c>
      <c r="V156" s="135">
        <v>0</v>
      </c>
      <c r="W156" s="134"/>
      <c r="X156" s="134"/>
      <c r="Y156" s="136">
        <v>0</v>
      </c>
      <c r="Z156" s="137">
        <v>0</v>
      </c>
      <c r="AA156" s="135"/>
      <c r="AB156" s="209" t="s">
        <v>1623</v>
      </c>
      <c r="AC156" s="220"/>
      <c r="AD156" s="158">
        <v>0</v>
      </c>
      <c r="AE156" s="166">
        <v>0</v>
      </c>
      <c r="AF156" s="162"/>
      <c r="AG156" s="163"/>
      <c r="AH156" s="163" t="str">
        <f>"                                           " &amp; TEXT(AE156,"#0.00%") &amp; "/" &amp; TEXT(AD156,"#0.00% ") &amp; "" &amp; "인사정보 생성" &amp; "(이세림)" &amp; " " &amp; IF(P156="","",TEXT(P156,"M/D-")) &amp; IF(Q156="","",TEXT(Q156,"M/D")) &amp; " "</f>
        <v xml:space="preserve">                                           0.00%/0.00% 인사정보 생성(이세림) 11/21-11/23 </v>
      </c>
      <c r="AI156" s="163"/>
      <c r="AJ156" s="163"/>
      <c r="AK156" s="163"/>
    </row>
    <row r="157" spans="1:37" ht="12" customHeight="1" outlineLevel="5">
      <c r="A157" s="132"/>
      <c r="B157" s="132"/>
      <c r="C157" s="132">
        <v>6</v>
      </c>
      <c r="D157" s="159" t="s">
        <v>2060</v>
      </c>
      <c r="E157" s="133"/>
      <c r="F157" s="133"/>
      <c r="G157" s="133"/>
      <c r="H157" s="133"/>
      <c r="I157" s="133"/>
      <c r="J157" s="133" t="s">
        <v>1549</v>
      </c>
      <c r="K157" s="133"/>
      <c r="L157" s="133"/>
      <c r="M157" s="133"/>
      <c r="N157" s="133"/>
      <c r="O157" s="133"/>
      <c r="P157" s="134">
        <v>44889</v>
      </c>
      <c r="Q157" s="134">
        <v>44893</v>
      </c>
      <c r="R157" s="133"/>
      <c r="S157" s="135">
        <v>3</v>
      </c>
      <c r="T157" s="135">
        <v>0</v>
      </c>
      <c r="U157" s="135">
        <v>3</v>
      </c>
      <c r="V157" s="135">
        <v>0</v>
      </c>
      <c r="W157" s="134"/>
      <c r="X157" s="134"/>
      <c r="Y157" s="136">
        <v>0</v>
      </c>
      <c r="Z157" s="137">
        <v>0</v>
      </c>
      <c r="AA157" s="135"/>
      <c r="AB157" s="209" t="s">
        <v>1623</v>
      </c>
      <c r="AC157" s="220"/>
      <c r="AD157" s="158">
        <v>0</v>
      </c>
      <c r="AE157" s="166">
        <v>0</v>
      </c>
      <c r="AF157" s="162"/>
      <c r="AG157" s="163"/>
      <c r="AH157" s="163" t="str">
        <f>"                                                 " &amp; TEXT(AE157,"#0.00%") &amp; "/" &amp; TEXT(AD157,"#0.00% ") &amp; "" &amp; "조직정보 생성" &amp; "(이세림)" &amp; " " &amp; IF(P157="","",TEXT(P157,"M/D-")) &amp; IF(Q157="","",TEXT(Q157,"M/D")) &amp; " "</f>
        <v xml:space="preserve">                                                 0.00%/0.00% 조직정보 생성(이세림) 11/24-11/28 </v>
      </c>
      <c r="AI157" s="163"/>
      <c r="AJ157" s="163"/>
      <c r="AK157" s="163"/>
    </row>
    <row r="158" spans="1:37" ht="12" customHeight="1" outlineLevel="3">
      <c r="A158" s="132"/>
      <c r="B158" s="132" t="s">
        <v>1363</v>
      </c>
      <c r="C158" s="132">
        <v>4</v>
      </c>
      <c r="D158" s="159" t="s">
        <v>2061</v>
      </c>
      <c r="E158" s="133"/>
      <c r="F158" s="133"/>
      <c r="G158" s="133"/>
      <c r="H158" s="133" t="s">
        <v>1550</v>
      </c>
      <c r="I158" s="133"/>
      <c r="J158" s="133"/>
      <c r="K158" s="133"/>
      <c r="L158" s="133"/>
      <c r="M158" s="133"/>
      <c r="N158" s="133"/>
      <c r="O158" s="133"/>
      <c r="P158" s="134">
        <v>44852</v>
      </c>
      <c r="Q158" s="134">
        <v>44925</v>
      </c>
      <c r="R158" s="133"/>
      <c r="S158" s="135">
        <v>37</v>
      </c>
      <c r="T158" s="135">
        <v>15</v>
      </c>
      <c r="U158" s="135">
        <v>54</v>
      </c>
      <c r="V158" s="135">
        <v>15</v>
      </c>
      <c r="W158" s="134">
        <v>44852</v>
      </c>
      <c r="X158" s="134"/>
      <c r="Y158" s="136">
        <v>23</v>
      </c>
      <c r="Z158" s="137">
        <v>0</v>
      </c>
      <c r="AA158" s="135"/>
      <c r="AB158" s="209" t="s">
        <v>1623</v>
      </c>
      <c r="AC158" s="220"/>
      <c r="AD158" s="158">
        <v>0.40540540540540543</v>
      </c>
      <c r="AE158" s="208">
        <v>0.6216216216216216</v>
      </c>
      <c r="AF158" s="162"/>
      <c r="AG158" s="163"/>
      <c r="AH158" s="163"/>
      <c r="AI158" s="163" t="str">
        <f>"    " &amp; TEXT(AE158,"#0.00%") &amp; "/" &amp; TEXT(AD158,"#0.00% ") &amp; "" &amp; "설정" &amp; "(이세림)" &amp; " " &amp; IF(P158="","",TEXT(P158,"M/D-")) &amp; IF(Q158="","",TEXT(Q158,"M/D")) &amp; " "</f>
        <v xml:space="preserve">    62.16%/40.54% 설정(이세림) 10/18-12/30 </v>
      </c>
      <c r="AJ158" s="163"/>
      <c r="AK158" s="163"/>
    </row>
    <row r="159" spans="1:37" ht="12" customHeight="1" outlineLevel="4">
      <c r="A159" s="132"/>
      <c r="B159" s="132"/>
      <c r="C159" s="132">
        <v>5</v>
      </c>
      <c r="D159" s="159" t="s">
        <v>2062</v>
      </c>
      <c r="E159" s="133"/>
      <c r="F159" s="133"/>
      <c r="G159" s="133"/>
      <c r="H159" s="133"/>
      <c r="I159" s="133" t="s">
        <v>1551</v>
      </c>
      <c r="J159" s="133"/>
      <c r="K159" s="133"/>
      <c r="L159" s="133"/>
      <c r="M159" s="133"/>
      <c r="N159" s="133"/>
      <c r="O159" s="133"/>
      <c r="P159" s="134">
        <v>44852</v>
      </c>
      <c r="Q159" s="134">
        <v>44858</v>
      </c>
      <c r="R159" s="133"/>
      <c r="S159" s="135">
        <v>5</v>
      </c>
      <c r="T159" s="135">
        <v>5</v>
      </c>
      <c r="U159" s="135">
        <v>5</v>
      </c>
      <c r="V159" s="135">
        <v>5</v>
      </c>
      <c r="W159" s="134">
        <v>44852</v>
      </c>
      <c r="X159" s="134">
        <v>44858</v>
      </c>
      <c r="Y159" s="136">
        <v>5</v>
      </c>
      <c r="Z159" s="137">
        <v>5</v>
      </c>
      <c r="AA159" s="135"/>
      <c r="AB159" s="209" t="s">
        <v>1623</v>
      </c>
      <c r="AC159" s="220"/>
      <c r="AD159" s="158">
        <v>1</v>
      </c>
      <c r="AE159" s="166">
        <v>1</v>
      </c>
      <c r="AF159" s="162"/>
      <c r="AG159" s="163" t="str">
        <f>"                                                  " &amp; TEXT(AE159,"#0.00%") &amp; "/" &amp; TEXT(AD159,"#0.00% ") &amp; "" &amp; "공통코드 관리" &amp; "(이세림)" &amp; " " &amp; IF(P159="","",TEXT(P159,"M/D-")) &amp; IF(Q159="","",TEXT(Q159,"M/D")) &amp; " "</f>
        <v xml:space="preserve">                                                  100.00%/100.00% 공통코드 관리(이세림) 10/18-10/24 </v>
      </c>
      <c r="AH159" s="163"/>
      <c r="AI159" s="163"/>
      <c r="AJ159" s="163"/>
      <c r="AK159" s="163"/>
    </row>
    <row r="160" spans="1:37" ht="12" customHeight="1" outlineLevel="4">
      <c r="A160" s="132"/>
      <c r="B160" s="132"/>
      <c r="C160" s="132">
        <v>5</v>
      </c>
      <c r="D160" s="159" t="s">
        <v>2063</v>
      </c>
      <c r="E160" s="133"/>
      <c r="F160" s="133"/>
      <c r="G160" s="133"/>
      <c r="H160" s="133"/>
      <c r="I160" s="133" t="s">
        <v>1552</v>
      </c>
      <c r="J160" s="133"/>
      <c r="K160" s="133"/>
      <c r="L160" s="133"/>
      <c r="M160" s="133"/>
      <c r="N160" s="133"/>
      <c r="O160" s="133"/>
      <c r="P160" s="134">
        <v>44859</v>
      </c>
      <c r="Q160" s="134">
        <v>44865</v>
      </c>
      <c r="R160" s="133"/>
      <c r="S160" s="135">
        <v>5</v>
      </c>
      <c r="T160" s="135">
        <v>5</v>
      </c>
      <c r="U160" s="135">
        <v>5</v>
      </c>
      <c r="V160" s="135">
        <v>5</v>
      </c>
      <c r="W160" s="134">
        <v>44859</v>
      </c>
      <c r="X160" s="134">
        <v>44865</v>
      </c>
      <c r="Y160" s="136">
        <v>5</v>
      </c>
      <c r="Z160" s="137">
        <v>5</v>
      </c>
      <c r="AA160" s="135"/>
      <c r="AB160" s="209" t="s">
        <v>1623</v>
      </c>
      <c r="AC160" s="220"/>
      <c r="AD160" s="158">
        <v>1</v>
      </c>
      <c r="AE160" s="166">
        <v>1</v>
      </c>
      <c r="AF160" s="162"/>
      <c r="AG160" s="163"/>
      <c r="AH160" s="163" t="str">
        <f>"" &amp; TEXT(AE160,"#0.00%") &amp; "/" &amp; TEXT(AD160,"#0.00% ") &amp; "" &amp; "사용자 관리(관리자)" &amp; "(이세림)" &amp; " " &amp; IF(P160="","",TEXT(P160,"M/D-")) &amp; IF(Q160="","",TEXT(Q160,"M/D")) &amp; " "</f>
        <v xml:space="preserve">100.00%/100.00% 사용자 관리(관리자)(이세림) 10/25-10/31 </v>
      </c>
      <c r="AI160" s="163"/>
      <c r="AJ160" s="163"/>
      <c r="AK160" s="163"/>
    </row>
    <row r="161" spans="1:37" ht="12" customHeight="1" outlineLevel="4">
      <c r="A161" s="132"/>
      <c r="B161" s="132"/>
      <c r="C161" s="132">
        <v>5</v>
      </c>
      <c r="D161" s="159" t="s">
        <v>2064</v>
      </c>
      <c r="E161" s="133"/>
      <c r="F161" s="133"/>
      <c r="G161" s="133"/>
      <c r="H161" s="133"/>
      <c r="I161" s="133" t="s">
        <v>1516</v>
      </c>
      <c r="J161" s="133"/>
      <c r="K161" s="133"/>
      <c r="L161" s="133"/>
      <c r="M161" s="133"/>
      <c r="N161" s="133"/>
      <c r="O161" s="133"/>
      <c r="P161" s="134">
        <v>44866</v>
      </c>
      <c r="Q161" s="134">
        <v>44873</v>
      </c>
      <c r="R161" s="133"/>
      <c r="S161" s="135">
        <v>6</v>
      </c>
      <c r="T161" s="135">
        <v>5</v>
      </c>
      <c r="U161" s="135">
        <v>6</v>
      </c>
      <c r="V161" s="135">
        <v>5</v>
      </c>
      <c r="W161" s="134">
        <v>44866</v>
      </c>
      <c r="X161" s="134">
        <v>44873</v>
      </c>
      <c r="Y161" s="136">
        <v>6</v>
      </c>
      <c r="Z161" s="137">
        <v>6</v>
      </c>
      <c r="AA161" s="135"/>
      <c r="AB161" s="209" t="s">
        <v>1623</v>
      </c>
      <c r="AC161" s="220"/>
      <c r="AD161" s="158">
        <v>0.83333333333333337</v>
      </c>
      <c r="AE161" s="207">
        <v>1</v>
      </c>
      <c r="AF161" s="162"/>
      <c r="AG161" s="163"/>
      <c r="AH161" s="163" t="str">
        <f>"                 " &amp; TEXT(AE161,"#0.00%") &amp; "/" &amp; TEXT(AD161,"#0.00% ") &amp; "" &amp; "메뉴 관리" &amp; "(이세림)" &amp; " " &amp; IF(P161="","",TEXT(P161,"M/D-")) &amp; IF(Q161="","",TEXT(Q161,"M/D")) &amp; " "</f>
        <v xml:space="preserve">                 100.00%/83.33% 메뉴 관리(이세림) 11/1-11/8 </v>
      </c>
      <c r="AI161" s="163"/>
      <c r="AJ161" s="163"/>
      <c r="AK161" s="163"/>
    </row>
    <row r="162" spans="1:37" ht="12" customHeight="1" outlineLevel="4">
      <c r="A162" s="132"/>
      <c r="B162" s="132"/>
      <c r="C162" s="132">
        <v>5</v>
      </c>
      <c r="D162" s="159" t="s">
        <v>2065</v>
      </c>
      <c r="E162" s="133"/>
      <c r="F162" s="133"/>
      <c r="G162" s="133"/>
      <c r="H162" s="133"/>
      <c r="I162" s="133" t="s">
        <v>1517</v>
      </c>
      <c r="J162" s="133"/>
      <c r="K162" s="133"/>
      <c r="L162" s="133"/>
      <c r="M162" s="133"/>
      <c r="N162" s="133"/>
      <c r="O162" s="133"/>
      <c r="P162" s="134">
        <v>44874</v>
      </c>
      <c r="Q162" s="134">
        <v>44881</v>
      </c>
      <c r="R162" s="133"/>
      <c r="S162" s="135">
        <v>6</v>
      </c>
      <c r="T162" s="135">
        <v>0</v>
      </c>
      <c r="U162" s="135">
        <v>6</v>
      </c>
      <c r="V162" s="135">
        <v>0</v>
      </c>
      <c r="W162" s="134">
        <v>44874</v>
      </c>
      <c r="X162" s="134">
        <v>44881</v>
      </c>
      <c r="Y162" s="136">
        <v>6</v>
      </c>
      <c r="Z162" s="137">
        <v>6</v>
      </c>
      <c r="AA162" s="135"/>
      <c r="AB162" s="209" t="s">
        <v>1623</v>
      </c>
      <c r="AC162" s="220"/>
      <c r="AD162" s="158">
        <v>0</v>
      </c>
      <c r="AE162" s="207">
        <v>1</v>
      </c>
      <c r="AF162" s="162"/>
      <c r="AG162" s="163"/>
      <c r="AH162" s="163" t="str">
        <f>"                                  " &amp; TEXT(AE162,"#0.00%") &amp; "/" &amp; TEXT(AD162,"#0.00% ") &amp; "" &amp; "권한 관리" &amp; "(이세림)" &amp; " " &amp; IF(P162="","",TEXT(P162,"M/D-")) &amp; IF(Q162="","",TEXT(Q162,"M/D")) &amp; " "</f>
        <v xml:space="preserve">                                  100.00%/0.00% 권한 관리(이세림) 11/9-11/16 </v>
      </c>
      <c r="AI162" s="163"/>
      <c r="AJ162" s="163"/>
      <c r="AK162" s="163"/>
    </row>
    <row r="163" spans="1:37" ht="12" customHeight="1" outlineLevel="4">
      <c r="A163" s="132"/>
      <c r="B163" s="132"/>
      <c r="C163" s="132">
        <v>5</v>
      </c>
      <c r="D163" s="159" t="s">
        <v>2066</v>
      </c>
      <c r="E163" s="133"/>
      <c r="F163" s="133"/>
      <c r="G163" s="133"/>
      <c r="H163" s="133"/>
      <c r="I163" s="133" t="s">
        <v>1553</v>
      </c>
      <c r="J163" s="133"/>
      <c r="K163" s="133"/>
      <c r="L163" s="133"/>
      <c r="M163" s="133"/>
      <c r="N163" s="133"/>
      <c r="O163" s="133"/>
      <c r="P163" s="134">
        <v>44882</v>
      </c>
      <c r="Q163" s="134">
        <v>44882</v>
      </c>
      <c r="R163" s="133"/>
      <c r="S163" s="135">
        <v>1</v>
      </c>
      <c r="T163" s="135">
        <v>0</v>
      </c>
      <c r="U163" s="135">
        <v>1</v>
      </c>
      <c r="V163" s="135">
        <v>0</v>
      </c>
      <c r="W163" s="134">
        <v>44882</v>
      </c>
      <c r="X163" s="134">
        <v>44882</v>
      </c>
      <c r="Y163" s="136">
        <v>1</v>
      </c>
      <c r="Z163" s="137">
        <v>1</v>
      </c>
      <c r="AA163" s="135"/>
      <c r="AB163" s="209" t="s">
        <v>1623</v>
      </c>
      <c r="AC163" s="220"/>
      <c r="AD163" s="158">
        <v>0</v>
      </c>
      <c r="AE163" s="207">
        <v>1</v>
      </c>
      <c r="AF163" s="162"/>
      <c r="AG163" s="163"/>
      <c r="AH163" s="163" t="str">
        <f>"                                    " &amp; TEXT(AE163,"#0.00%") &amp; "/" &amp; TEXT(AD163,"#0.00% ") &amp; "" &amp; "접속 관리" &amp; "(이세림)" &amp; " " &amp; IF(P163="","",TEXT(P163,"M/D-")) &amp; IF(Q163="","",TEXT(Q163,"M/D")) &amp; " "</f>
        <v xml:space="preserve">                                    100.00%/0.00% 접속 관리(이세림) 11/17-11/17 </v>
      </c>
      <c r="AI163" s="163"/>
      <c r="AJ163" s="163"/>
      <c r="AK163" s="163"/>
    </row>
    <row r="164" spans="1:37" ht="12" customHeight="1" outlineLevel="4">
      <c r="A164" s="132"/>
      <c r="B164" s="132" t="s">
        <v>1363</v>
      </c>
      <c r="C164" s="132">
        <v>5</v>
      </c>
      <c r="D164" s="159" t="s">
        <v>2067</v>
      </c>
      <c r="E164" s="133"/>
      <c r="F164" s="133"/>
      <c r="G164" s="133"/>
      <c r="H164" s="133"/>
      <c r="I164" s="133" t="s">
        <v>1554</v>
      </c>
      <c r="J164" s="133"/>
      <c r="K164" s="133"/>
      <c r="L164" s="133"/>
      <c r="M164" s="133"/>
      <c r="N164" s="133"/>
      <c r="O164" s="133"/>
      <c r="P164" s="134">
        <v>44907</v>
      </c>
      <c r="Q164" s="134">
        <v>44925</v>
      </c>
      <c r="R164" s="133"/>
      <c r="S164" s="135">
        <v>14</v>
      </c>
      <c r="T164" s="135">
        <v>0</v>
      </c>
      <c r="U164" s="135">
        <v>15</v>
      </c>
      <c r="V164" s="135">
        <v>0</v>
      </c>
      <c r="W164" s="134"/>
      <c r="X164" s="134"/>
      <c r="Y164" s="136">
        <v>0</v>
      </c>
      <c r="Z164" s="137">
        <v>0</v>
      </c>
      <c r="AA164" s="135"/>
      <c r="AB164" s="209" t="s">
        <v>1773</v>
      </c>
      <c r="AC164" s="220"/>
      <c r="AD164" s="158">
        <v>0</v>
      </c>
      <c r="AE164" s="192">
        <v>0</v>
      </c>
      <c r="AF164" s="162"/>
      <c r="AG164" s="163"/>
      <c r="AH164" s="163"/>
      <c r="AI164" s="163" t="str">
        <f>"                       " &amp; TEXT(AE164,"#0.00%") &amp; "/" &amp; TEXT(AD164,"#0.00% ") &amp; "" &amp; "배치이력관리" &amp; "(유아람)" &amp; " " &amp; IF(P164="","",TEXT(P164,"M/D-")) &amp; IF(Q164="","",TEXT(Q164,"M/D")) &amp; " "</f>
        <v xml:space="preserve">                       0.00%/0.00% 배치이력관리(유아람) 12/12-12/30 </v>
      </c>
      <c r="AJ164" s="163"/>
      <c r="AK164" s="163"/>
    </row>
    <row r="165" spans="1:37" ht="12" customHeight="1" outlineLevel="5">
      <c r="A165" s="132"/>
      <c r="B165" s="132"/>
      <c r="C165" s="132">
        <v>6</v>
      </c>
      <c r="D165" s="159" t="s">
        <v>2068</v>
      </c>
      <c r="E165" s="133"/>
      <c r="F165" s="133"/>
      <c r="G165" s="133"/>
      <c r="H165" s="133"/>
      <c r="I165" s="133"/>
      <c r="J165" s="133" t="s">
        <v>1555</v>
      </c>
      <c r="K165" s="133"/>
      <c r="L165" s="133"/>
      <c r="M165" s="133"/>
      <c r="N165" s="133"/>
      <c r="O165" s="133"/>
      <c r="P165" s="134">
        <v>44907</v>
      </c>
      <c r="Q165" s="134">
        <v>44908</v>
      </c>
      <c r="R165" s="133"/>
      <c r="S165" s="135">
        <v>2</v>
      </c>
      <c r="T165" s="135">
        <v>0</v>
      </c>
      <c r="U165" s="135">
        <v>2</v>
      </c>
      <c r="V165" s="135">
        <v>0</v>
      </c>
      <c r="W165" s="134"/>
      <c r="X165" s="134"/>
      <c r="Y165" s="136">
        <v>0</v>
      </c>
      <c r="Z165" s="137">
        <v>0</v>
      </c>
      <c r="AA165" s="135"/>
      <c r="AB165" s="209" t="s">
        <v>1773</v>
      </c>
      <c r="AC165" s="220"/>
      <c r="AD165" s="158">
        <v>0</v>
      </c>
      <c r="AE165" s="166">
        <v>0</v>
      </c>
      <c r="AF165" s="162"/>
      <c r="AG165" s="163"/>
      <c r="AH165" s="163"/>
      <c r="AI165" s="163" t="str">
        <f>"                       " &amp; TEXT(AE165,"#0.00%") &amp; "/" &amp; TEXT(AD165,"#0.00% ") &amp; "" &amp; "인사 발령" &amp; "(유아람)" &amp; " " &amp; IF(P165="","",TEXT(P165,"M/D-")) &amp; IF(Q165="","",TEXT(Q165,"M/D")) &amp; " "</f>
        <v xml:space="preserve">                       0.00%/0.00% 인사 발령(유아람) 12/12-12/13 </v>
      </c>
      <c r="AJ165" s="163"/>
      <c r="AK165" s="163"/>
    </row>
    <row r="166" spans="1:37" ht="12" customHeight="1" outlineLevel="5">
      <c r="A166" s="132"/>
      <c r="B166" s="132"/>
      <c r="C166" s="132">
        <v>6</v>
      </c>
      <c r="D166" s="159" t="s">
        <v>2069</v>
      </c>
      <c r="E166" s="133"/>
      <c r="F166" s="133"/>
      <c r="G166" s="133"/>
      <c r="H166" s="133"/>
      <c r="I166" s="133"/>
      <c r="J166" s="133" t="s">
        <v>1556</v>
      </c>
      <c r="K166" s="133"/>
      <c r="L166" s="133"/>
      <c r="M166" s="133"/>
      <c r="N166" s="133"/>
      <c r="O166" s="133"/>
      <c r="P166" s="134">
        <v>44909</v>
      </c>
      <c r="Q166" s="134">
        <v>44910</v>
      </c>
      <c r="R166" s="133"/>
      <c r="S166" s="135">
        <v>2</v>
      </c>
      <c r="T166" s="135">
        <v>0</v>
      </c>
      <c r="U166" s="135">
        <v>2</v>
      </c>
      <c r="V166" s="135">
        <v>0</v>
      </c>
      <c r="W166" s="134"/>
      <c r="X166" s="134"/>
      <c r="Y166" s="136">
        <v>0</v>
      </c>
      <c r="Z166" s="137">
        <v>0</v>
      </c>
      <c r="AA166" s="135"/>
      <c r="AB166" s="209" t="s">
        <v>1773</v>
      </c>
      <c r="AC166" s="220"/>
      <c r="AD166" s="158">
        <v>0</v>
      </c>
      <c r="AE166" s="166">
        <v>0</v>
      </c>
      <c r="AF166" s="162"/>
      <c r="AG166" s="163"/>
      <c r="AH166" s="163"/>
      <c r="AI166" s="163" t="str">
        <f>"                           " &amp; TEXT(AE166,"#0.00%") &amp; "/" &amp; TEXT(AD166,"#0.00% ") &amp; "" &amp; "조직 개편" &amp; "(유아람)" &amp; " " &amp; IF(P166="","",TEXT(P166,"M/D-")) &amp; IF(Q166="","",TEXT(Q166,"M/D")) &amp; " "</f>
        <v xml:space="preserve">                           0.00%/0.00% 조직 개편(유아람) 12/14-12/15 </v>
      </c>
      <c r="AJ166" s="163"/>
      <c r="AK166" s="163"/>
    </row>
    <row r="167" spans="1:37" ht="12" customHeight="1" outlineLevel="5">
      <c r="A167" s="132"/>
      <c r="B167" s="132"/>
      <c r="C167" s="132">
        <v>6</v>
      </c>
      <c r="D167" s="159" t="s">
        <v>2070</v>
      </c>
      <c r="E167" s="133"/>
      <c r="F167" s="133"/>
      <c r="G167" s="133"/>
      <c r="H167" s="133"/>
      <c r="I167" s="133"/>
      <c r="J167" s="133" t="s">
        <v>1557</v>
      </c>
      <c r="K167" s="133"/>
      <c r="L167" s="133"/>
      <c r="M167" s="133"/>
      <c r="N167" s="133"/>
      <c r="O167" s="133"/>
      <c r="P167" s="134">
        <v>44911</v>
      </c>
      <c r="Q167" s="134">
        <v>44914</v>
      </c>
      <c r="R167" s="133"/>
      <c r="S167" s="135">
        <v>2</v>
      </c>
      <c r="T167" s="135">
        <v>0</v>
      </c>
      <c r="U167" s="135">
        <v>2</v>
      </c>
      <c r="V167" s="135">
        <v>0</v>
      </c>
      <c r="W167" s="134"/>
      <c r="X167" s="134"/>
      <c r="Y167" s="136">
        <v>0</v>
      </c>
      <c r="Z167" s="137">
        <v>0</v>
      </c>
      <c r="AA167" s="135"/>
      <c r="AB167" s="209" t="s">
        <v>1773</v>
      </c>
      <c r="AC167" s="220"/>
      <c r="AD167" s="158">
        <v>0</v>
      </c>
      <c r="AE167" s="166">
        <v>0</v>
      </c>
      <c r="AF167" s="162"/>
      <c r="AG167" s="163"/>
      <c r="AH167" s="163"/>
      <c r="AI167" s="163" t="str">
        <f>"                               " &amp; TEXT(AE167,"#0.00%") &amp; "/" &amp; TEXT(AD167,"#0.00% ") &amp; "" &amp; "인력 통계" &amp; "(유아람)" &amp; " " &amp; IF(P167="","",TEXT(P167,"M/D-")) &amp; IF(Q167="","",TEXT(Q167,"M/D")) &amp; " "</f>
        <v xml:space="preserve">                               0.00%/0.00% 인력 통계(유아람) 12/16-12/19 </v>
      </c>
      <c r="AJ167" s="163"/>
      <c r="AK167" s="163"/>
    </row>
    <row r="168" spans="1:37" ht="12" customHeight="1" outlineLevel="5">
      <c r="A168" s="132"/>
      <c r="B168" s="132"/>
      <c r="C168" s="132">
        <v>6</v>
      </c>
      <c r="D168" s="159" t="s">
        <v>2071</v>
      </c>
      <c r="E168" s="133"/>
      <c r="F168" s="133"/>
      <c r="G168" s="133"/>
      <c r="H168" s="133"/>
      <c r="I168" s="133"/>
      <c r="J168" s="133" t="s">
        <v>1547</v>
      </c>
      <c r="K168" s="133"/>
      <c r="L168" s="133"/>
      <c r="M168" s="133"/>
      <c r="N168" s="133"/>
      <c r="O168" s="133"/>
      <c r="P168" s="134">
        <v>44915</v>
      </c>
      <c r="Q168" s="134">
        <v>44916</v>
      </c>
      <c r="R168" s="133"/>
      <c r="S168" s="135">
        <v>2</v>
      </c>
      <c r="T168" s="135">
        <v>0</v>
      </c>
      <c r="U168" s="135">
        <v>2</v>
      </c>
      <c r="V168" s="135">
        <v>0</v>
      </c>
      <c r="W168" s="134"/>
      <c r="X168" s="134"/>
      <c r="Y168" s="136">
        <v>0</v>
      </c>
      <c r="Z168" s="137">
        <v>0</v>
      </c>
      <c r="AA168" s="135"/>
      <c r="AB168" s="209" t="s">
        <v>1773</v>
      </c>
      <c r="AC168" s="220"/>
      <c r="AD168" s="158">
        <v>0</v>
      </c>
      <c r="AE168" s="166">
        <v>0</v>
      </c>
      <c r="AF168" s="162"/>
      <c r="AG168" s="163"/>
      <c r="AH168" s="163"/>
      <c r="AI168" s="163" t="str">
        <f>"                                       " &amp; TEXT(AE168,"#0.00%") &amp; "/" &amp; TEXT(AD168,"#0.00% ") &amp; "" &amp; "프로젝트 통계" &amp; "(유아람)" &amp; " " &amp; IF(P168="","",TEXT(P168,"M/D-")) &amp; IF(Q168="","",TEXT(Q168,"M/D")) &amp; " "</f>
        <v xml:space="preserve">                                       0.00%/0.00% 프로젝트 통계(유아람) 12/20-12/21 </v>
      </c>
      <c r="AJ168" s="163"/>
      <c r="AK168" s="163"/>
    </row>
    <row r="169" spans="1:37" ht="12" customHeight="1" outlineLevel="5">
      <c r="A169" s="132"/>
      <c r="B169" s="132"/>
      <c r="C169" s="132">
        <v>6</v>
      </c>
      <c r="D169" s="159" t="s">
        <v>2072</v>
      </c>
      <c r="E169" s="133"/>
      <c r="F169" s="133"/>
      <c r="G169" s="133"/>
      <c r="H169" s="133"/>
      <c r="I169" s="133"/>
      <c r="J169" s="133" t="s">
        <v>1558</v>
      </c>
      <c r="K169" s="133"/>
      <c r="L169" s="133"/>
      <c r="M169" s="133"/>
      <c r="N169" s="133"/>
      <c r="O169" s="133"/>
      <c r="P169" s="134">
        <v>44917</v>
      </c>
      <c r="Q169" s="134">
        <v>44918</v>
      </c>
      <c r="R169" s="133"/>
      <c r="S169" s="135">
        <v>2</v>
      </c>
      <c r="T169" s="135">
        <v>0</v>
      </c>
      <c r="U169" s="135">
        <v>2</v>
      </c>
      <c r="V169" s="135">
        <v>0</v>
      </c>
      <c r="W169" s="134"/>
      <c r="X169" s="134"/>
      <c r="Y169" s="136">
        <v>0</v>
      </c>
      <c r="Z169" s="137">
        <v>0</v>
      </c>
      <c r="AA169" s="135"/>
      <c r="AB169" s="209" t="s">
        <v>1773</v>
      </c>
      <c r="AC169" s="220"/>
      <c r="AD169" s="158">
        <v>0</v>
      </c>
      <c r="AE169" s="166">
        <v>0</v>
      </c>
      <c r="AF169" s="162"/>
      <c r="AG169" s="163"/>
      <c r="AH169" s="163"/>
      <c r="AI169" s="163" t="str">
        <f>"                                           " &amp; TEXT(AE169,"#0.00%") &amp; "/" &amp; TEXT(AD169,"#0.00% ") &amp; "" &amp; "인사정보 통계" &amp; "(유아람)" &amp; " " &amp; IF(P169="","",TEXT(P169,"M/D-")) &amp; IF(Q169="","",TEXT(Q169,"M/D")) &amp; " "</f>
        <v xml:space="preserve">                                           0.00%/0.00% 인사정보 통계(유아람) 12/22-12/23 </v>
      </c>
      <c r="AJ169" s="163"/>
      <c r="AK169" s="163"/>
    </row>
    <row r="170" spans="1:37" ht="12" customHeight="1" outlineLevel="5">
      <c r="A170" s="132"/>
      <c r="B170" s="132"/>
      <c r="C170" s="132">
        <v>6</v>
      </c>
      <c r="D170" s="159" t="s">
        <v>2073</v>
      </c>
      <c r="E170" s="133"/>
      <c r="F170" s="133"/>
      <c r="G170" s="133"/>
      <c r="H170" s="133"/>
      <c r="I170" s="133"/>
      <c r="J170" s="133" t="s">
        <v>1559</v>
      </c>
      <c r="K170" s="133"/>
      <c r="L170" s="133"/>
      <c r="M170" s="133"/>
      <c r="N170" s="133"/>
      <c r="O170" s="133"/>
      <c r="P170" s="134">
        <v>44922</v>
      </c>
      <c r="Q170" s="134">
        <v>44923</v>
      </c>
      <c r="R170" s="133"/>
      <c r="S170" s="135">
        <v>2</v>
      </c>
      <c r="T170" s="135">
        <v>0</v>
      </c>
      <c r="U170" s="135">
        <v>2</v>
      </c>
      <c r="V170" s="135">
        <v>0</v>
      </c>
      <c r="W170" s="134"/>
      <c r="X170" s="134"/>
      <c r="Y170" s="136">
        <v>0</v>
      </c>
      <c r="Z170" s="137">
        <v>0</v>
      </c>
      <c r="AA170" s="135"/>
      <c r="AB170" s="209" t="s">
        <v>1773</v>
      </c>
      <c r="AC170" s="220"/>
      <c r="AD170" s="158">
        <v>0</v>
      </c>
      <c r="AE170" s="166">
        <v>0</v>
      </c>
      <c r="AF170" s="162"/>
      <c r="AG170" s="163"/>
      <c r="AH170" s="163"/>
      <c r="AI170" s="163" t="str">
        <f>"                                                      " &amp; TEXT(AE170,"#0.00%") &amp; "/" &amp; TEXT(AD170,"#0.00% ") &amp; "" &amp; "조직정보 통계" &amp; "(유아람)" &amp; " " &amp; IF(P170="","",TEXT(P170,"M/D-")) &amp; IF(Q170="","",TEXT(Q170,"M/D")) &amp; " "</f>
        <v xml:space="preserve">                                                      0.00%/0.00% 조직정보 통계(유아람) 12/27-12/28 </v>
      </c>
      <c r="AJ170" s="163"/>
      <c r="AK170" s="163"/>
    </row>
    <row r="171" spans="1:37" ht="12" customHeight="1" outlineLevel="5">
      <c r="A171" s="132"/>
      <c r="B171" s="132"/>
      <c r="C171" s="132">
        <v>6</v>
      </c>
      <c r="D171" s="159" t="s">
        <v>2074</v>
      </c>
      <c r="E171" s="133"/>
      <c r="F171" s="133"/>
      <c r="G171" s="133"/>
      <c r="H171" s="133"/>
      <c r="I171" s="133"/>
      <c r="J171" s="133" t="s">
        <v>1560</v>
      </c>
      <c r="K171" s="133"/>
      <c r="L171" s="133"/>
      <c r="M171" s="133"/>
      <c r="N171" s="133"/>
      <c r="O171" s="133"/>
      <c r="P171" s="134">
        <v>44924</v>
      </c>
      <c r="Q171" s="134">
        <v>44925</v>
      </c>
      <c r="R171" s="133"/>
      <c r="S171" s="135">
        <v>2</v>
      </c>
      <c r="T171" s="135">
        <v>0</v>
      </c>
      <c r="U171" s="135">
        <v>2</v>
      </c>
      <c r="V171" s="135">
        <v>0</v>
      </c>
      <c r="W171" s="134"/>
      <c r="X171" s="134"/>
      <c r="Y171" s="136">
        <v>0</v>
      </c>
      <c r="Z171" s="137">
        <v>0</v>
      </c>
      <c r="AA171" s="135"/>
      <c r="AB171" s="209" t="s">
        <v>1773</v>
      </c>
      <c r="AC171" s="220"/>
      <c r="AD171" s="158">
        <v>0</v>
      </c>
      <c r="AE171" s="166">
        <v>0</v>
      </c>
      <c r="AF171" s="162"/>
      <c r="AG171" s="163"/>
      <c r="AH171" s="163"/>
      <c r="AI171" s="163" t="str">
        <f>"                                                          " &amp; TEXT(AE171,"#0.00%") &amp; "/" &amp; TEXT(AD171,"#0.00% ") &amp; "" &amp; "재실행" &amp; "(유아람)" &amp; " " &amp; IF(P171="","",TEXT(P171,"M/D-")) &amp; IF(Q171="","",TEXT(Q171,"M/D")) &amp; " "</f>
        <v xml:space="preserve">                                                          0.00%/0.00% 재실행(유아람) 12/29-12/30 </v>
      </c>
      <c r="AJ171" s="163"/>
      <c r="AK171" s="163"/>
    </row>
    <row r="172" spans="1:37" ht="12" customHeight="1" outlineLevel="3">
      <c r="A172" s="132"/>
      <c r="B172" s="132" t="s">
        <v>1363</v>
      </c>
      <c r="C172" s="132">
        <v>4</v>
      </c>
      <c r="D172" s="159" t="s">
        <v>2075</v>
      </c>
      <c r="E172" s="133"/>
      <c r="F172" s="133"/>
      <c r="G172" s="133"/>
      <c r="H172" s="133" t="s">
        <v>1509</v>
      </c>
      <c r="I172" s="133"/>
      <c r="J172" s="133"/>
      <c r="K172" s="133"/>
      <c r="L172" s="133"/>
      <c r="M172" s="133"/>
      <c r="N172" s="133"/>
      <c r="O172" s="133"/>
      <c r="P172" s="134">
        <v>44840</v>
      </c>
      <c r="Q172" s="134">
        <v>44873</v>
      </c>
      <c r="R172" s="133"/>
      <c r="S172" s="135">
        <v>23</v>
      </c>
      <c r="T172" s="135">
        <v>22</v>
      </c>
      <c r="U172" s="135">
        <v>23</v>
      </c>
      <c r="V172" s="135">
        <v>22</v>
      </c>
      <c r="W172" s="134">
        <v>44840</v>
      </c>
      <c r="X172" s="134"/>
      <c r="Y172" s="136">
        <v>22</v>
      </c>
      <c r="Z172" s="137">
        <v>0</v>
      </c>
      <c r="AA172" s="135"/>
      <c r="AB172" s="209" t="s">
        <v>1773</v>
      </c>
      <c r="AC172" s="220"/>
      <c r="AD172" s="158">
        <v>0.95652173913043481</v>
      </c>
      <c r="AE172" s="192">
        <v>0.95652173913043481</v>
      </c>
      <c r="AF172" s="162"/>
      <c r="AG172" s="163"/>
      <c r="AH172" s="163" t="str">
        <f>"               " &amp; TEXT(AE172,"#0.00%") &amp; "/" &amp; TEXT(AD172,"#0.00% ") &amp; "" &amp; "채용" &amp; "(유아람)" &amp; " " &amp; IF(P172="","",TEXT(P172,"M/D-")) &amp; IF(Q172="","",TEXT(Q172,"M/D")) &amp; " "</f>
        <v xml:space="preserve">               95.65%/95.65% 채용(유아람) 10/6-11/8 </v>
      </c>
      <c r="AI172" s="163"/>
      <c r="AJ172" s="163"/>
      <c r="AK172" s="163"/>
    </row>
    <row r="173" spans="1:37" ht="12" customHeight="1" outlineLevel="4">
      <c r="A173" s="132"/>
      <c r="B173" s="132"/>
      <c r="C173" s="132">
        <v>5</v>
      </c>
      <c r="D173" s="159" t="s">
        <v>2076</v>
      </c>
      <c r="E173" s="133"/>
      <c r="F173" s="133"/>
      <c r="G173" s="133"/>
      <c r="H173" s="133"/>
      <c r="I173" s="133" t="s">
        <v>1561</v>
      </c>
      <c r="J173" s="133"/>
      <c r="K173" s="133"/>
      <c r="L173" s="133"/>
      <c r="M173" s="133"/>
      <c r="N173" s="133"/>
      <c r="O173" s="133"/>
      <c r="P173" s="134">
        <v>44840</v>
      </c>
      <c r="Q173" s="134">
        <v>44840</v>
      </c>
      <c r="R173" s="133"/>
      <c r="S173" s="135">
        <v>1</v>
      </c>
      <c r="T173" s="135">
        <v>1</v>
      </c>
      <c r="U173" s="135">
        <v>1</v>
      </c>
      <c r="V173" s="135">
        <v>1</v>
      </c>
      <c r="W173" s="134">
        <v>44840</v>
      </c>
      <c r="X173" s="134">
        <v>44840</v>
      </c>
      <c r="Y173" s="136">
        <v>1</v>
      </c>
      <c r="Z173" s="137">
        <v>1</v>
      </c>
      <c r="AA173" s="135"/>
      <c r="AB173" s="209" t="s">
        <v>1773</v>
      </c>
      <c r="AC173" s="220"/>
      <c r="AD173" s="158">
        <v>1</v>
      </c>
      <c r="AE173" s="166">
        <v>1</v>
      </c>
      <c r="AF173" s="162"/>
      <c r="AG173" s="163" t="str">
        <f>"            " &amp; TEXT(AE173,"#0.00%") &amp; "/" &amp; TEXT(AD173,"#0.00% ") &amp; "" &amp; "검색" &amp; "(유아람)" &amp; " " &amp; IF(P173="","",TEXT(P173,"M/D-")) &amp; IF(Q173="","",TEXT(Q173,"M/D")) &amp; " "</f>
        <v xml:space="preserve">            100.00%/100.00% 검색(유아람) 10/6-10/6 </v>
      </c>
      <c r="AH173" s="163"/>
      <c r="AI173" s="163"/>
      <c r="AJ173" s="163"/>
      <c r="AK173" s="163"/>
    </row>
    <row r="174" spans="1:37" ht="12" customHeight="1" outlineLevel="4">
      <c r="A174" s="132"/>
      <c r="B174" s="132"/>
      <c r="C174" s="132">
        <v>5</v>
      </c>
      <c r="D174" s="159" t="s">
        <v>2077</v>
      </c>
      <c r="E174" s="133"/>
      <c r="F174" s="133"/>
      <c r="G174" s="133"/>
      <c r="H174" s="133"/>
      <c r="I174" s="133" t="s">
        <v>1562</v>
      </c>
      <c r="J174" s="133"/>
      <c r="K174" s="133"/>
      <c r="L174" s="133"/>
      <c r="M174" s="133"/>
      <c r="N174" s="133"/>
      <c r="O174" s="133"/>
      <c r="P174" s="134">
        <v>44841</v>
      </c>
      <c r="Q174" s="134">
        <v>44841</v>
      </c>
      <c r="R174" s="133"/>
      <c r="S174" s="135">
        <v>1</v>
      </c>
      <c r="T174" s="135">
        <v>1</v>
      </c>
      <c r="U174" s="135">
        <v>1</v>
      </c>
      <c r="V174" s="135">
        <v>1</v>
      </c>
      <c r="W174" s="134">
        <v>44841</v>
      </c>
      <c r="X174" s="134">
        <v>44841</v>
      </c>
      <c r="Y174" s="136">
        <v>1</v>
      </c>
      <c r="Z174" s="137">
        <v>1</v>
      </c>
      <c r="AA174" s="135"/>
      <c r="AB174" s="209" t="s">
        <v>1773</v>
      </c>
      <c r="AC174" s="220"/>
      <c r="AD174" s="158">
        <v>1</v>
      </c>
      <c r="AE174" s="166">
        <v>1</v>
      </c>
      <c r="AF174" s="162"/>
      <c r="AG174" s="163" t="str">
        <f>"              " &amp; TEXT(AE174,"#0.00%") &amp; "/" &amp; TEXT(AD174,"#0.00% ") &amp; "" &amp; "기본정보" &amp; "(유아람)" &amp; " " &amp; IF(P174="","",TEXT(P174,"M/D-")) &amp; IF(Q174="","",TEXT(Q174,"M/D")) &amp; " "</f>
        <v xml:space="preserve">              100.00%/100.00% 기본정보(유아람) 10/7-10/7 </v>
      </c>
      <c r="AH174" s="163"/>
      <c r="AI174" s="163"/>
      <c r="AJ174" s="163"/>
      <c r="AK174" s="163"/>
    </row>
    <row r="175" spans="1:37" ht="12" customHeight="1" outlineLevel="4">
      <c r="A175" s="132"/>
      <c r="B175" s="132" t="s">
        <v>1363</v>
      </c>
      <c r="C175" s="132">
        <v>5</v>
      </c>
      <c r="D175" s="159" t="s">
        <v>2078</v>
      </c>
      <c r="E175" s="133"/>
      <c r="F175" s="133"/>
      <c r="G175" s="133"/>
      <c r="H175" s="133"/>
      <c r="I175" s="133" t="s">
        <v>1563</v>
      </c>
      <c r="J175" s="133"/>
      <c r="K175" s="133"/>
      <c r="L175" s="133"/>
      <c r="M175" s="133"/>
      <c r="N175" s="133"/>
      <c r="O175" s="133"/>
      <c r="P175" s="134">
        <v>44845</v>
      </c>
      <c r="Q175" s="134">
        <v>44866</v>
      </c>
      <c r="R175" s="133"/>
      <c r="S175" s="135">
        <v>16</v>
      </c>
      <c r="T175" s="135">
        <v>16</v>
      </c>
      <c r="U175" s="135">
        <v>16</v>
      </c>
      <c r="V175" s="135">
        <v>16</v>
      </c>
      <c r="W175" s="134">
        <v>44845</v>
      </c>
      <c r="X175" s="134">
        <v>44866</v>
      </c>
      <c r="Y175" s="136">
        <v>16</v>
      </c>
      <c r="Z175" s="137">
        <v>16</v>
      </c>
      <c r="AA175" s="135"/>
      <c r="AB175" s="209" t="s">
        <v>1773</v>
      </c>
      <c r="AC175" s="220"/>
      <c r="AD175" s="158">
        <v>1</v>
      </c>
      <c r="AE175" s="192">
        <v>1</v>
      </c>
      <c r="AF175" s="162"/>
      <c r="AG175" s="163"/>
      <c r="AH175" s="163" t="str">
        <f>"  " &amp; TEXT(AE175,"#0.00%") &amp; "/" &amp; TEXT(AD175,"#0.00% ") &amp; "" &amp; "상세정보" &amp; "(유아람)" &amp; " " &amp; IF(P175="","",TEXT(P175,"M/D-")) &amp; IF(Q175="","",TEXT(Q175,"M/D")) &amp; " "</f>
        <v xml:space="preserve">  100.00%/100.00% 상세정보(유아람) 10/11-11/1 </v>
      </c>
      <c r="AI175" s="163"/>
      <c r="AJ175" s="163"/>
      <c r="AK175" s="163"/>
    </row>
    <row r="176" spans="1:37" ht="12" customHeight="1" outlineLevel="5">
      <c r="A176" s="132"/>
      <c r="B176" s="132"/>
      <c r="C176" s="132">
        <v>6</v>
      </c>
      <c r="D176" s="159" t="s">
        <v>2079</v>
      </c>
      <c r="E176" s="133"/>
      <c r="F176" s="133"/>
      <c r="G176" s="133"/>
      <c r="H176" s="133"/>
      <c r="I176" s="133"/>
      <c r="J176" s="133" t="s">
        <v>1564</v>
      </c>
      <c r="K176" s="133"/>
      <c r="L176" s="133"/>
      <c r="M176" s="133"/>
      <c r="N176" s="133"/>
      <c r="O176" s="133"/>
      <c r="P176" s="134">
        <v>44845</v>
      </c>
      <c r="Q176" s="134">
        <v>44851</v>
      </c>
      <c r="R176" s="133"/>
      <c r="S176" s="135">
        <v>5</v>
      </c>
      <c r="T176" s="135">
        <v>5</v>
      </c>
      <c r="U176" s="135">
        <v>5</v>
      </c>
      <c r="V176" s="135">
        <v>5</v>
      </c>
      <c r="W176" s="134">
        <v>44845</v>
      </c>
      <c r="X176" s="134">
        <v>44851</v>
      </c>
      <c r="Y176" s="136">
        <v>5</v>
      </c>
      <c r="Z176" s="137">
        <v>5</v>
      </c>
      <c r="AA176" s="135"/>
      <c r="AB176" s="209" t="s">
        <v>1773</v>
      </c>
      <c r="AC176" s="220"/>
      <c r="AD176" s="158">
        <v>1</v>
      </c>
      <c r="AE176" s="166">
        <v>1</v>
      </c>
      <c r="AF176" s="162"/>
      <c r="AG176" s="163" t="str">
        <f>"                                   " &amp; TEXT(AE176,"#0.00%") &amp; "/" &amp; TEXT(AD176,"#0.00% ") &amp; "" &amp; "인적사항" &amp; "(유아람)" &amp; " " &amp; IF(P176="","",TEXT(P176,"M/D-")) &amp; IF(Q176="","",TEXT(Q176,"M/D")) &amp; " "</f>
        <v xml:space="preserve">                                   100.00%/100.00% 인적사항(유아람) 10/11-10/17 </v>
      </c>
      <c r="AH176" s="163"/>
      <c r="AI176" s="163"/>
      <c r="AJ176" s="163"/>
      <c r="AK176" s="163"/>
    </row>
    <row r="177" spans="1:37" ht="12" customHeight="1" outlineLevel="5">
      <c r="A177" s="132"/>
      <c r="B177" s="132"/>
      <c r="C177" s="132">
        <v>6</v>
      </c>
      <c r="D177" s="159" t="s">
        <v>2080</v>
      </c>
      <c r="E177" s="133"/>
      <c r="F177" s="133"/>
      <c r="G177" s="133"/>
      <c r="H177" s="133"/>
      <c r="I177" s="133"/>
      <c r="J177" s="133" t="s">
        <v>1565</v>
      </c>
      <c r="K177" s="133"/>
      <c r="L177" s="133"/>
      <c r="M177" s="133"/>
      <c r="N177" s="133"/>
      <c r="O177" s="133"/>
      <c r="P177" s="134">
        <v>44852</v>
      </c>
      <c r="Q177" s="134">
        <v>44854</v>
      </c>
      <c r="R177" s="133"/>
      <c r="S177" s="135">
        <v>3</v>
      </c>
      <c r="T177" s="135">
        <v>3</v>
      </c>
      <c r="U177" s="135">
        <v>3</v>
      </c>
      <c r="V177" s="135">
        <v>3</v>
      </c>
      <c r="W177" s="134">
        <v>44852</v>
      </c>
      <c r="X177" s="134">
        <v>44854</v>
      </c>
      <c r="Y177" s="136">
        <v>3</v>
      </c>
      <c r="Z177" s="137">
        <v>3</v>
      </c>
      <c r="AA177" s="135"/>
      <c r="AB177" s="209" t="s">
        <v>1773</v>
      </c>
      <c r="AC177" s="220"/>
      <c r="AD177" s="158">
        <v>1</v>
      </c>
      <c r="AE177" s="166">
        <v>1</v>
      </c>
      <c r="AF177" s="162"/>
      <c r="AG177" s="163" t="str">
        <f>"                                         " &amp; TEXT(AE177,"#0.00%") &amp; "/" &amp; TEXT(AD177,"#0.00% ") &amp; "" &amp; "학력정보" &amp; "(유아람)" &amp; " " &amp; IF(P177="","",TEXT(P177,"M/D-")) &amp; IF(Q177="","",TEXT(Q177,"M/D")) &amp; " "</f>
        <v xml:space="preserve">                                         100.00%/100.00% 학력정보(유아람) 10/18-10/20 </v>
      </c>
      <c r="AH177" s="163"/>
      <c r="AI177" s="163"/>
      <c r="AJ177" s="163"/>
      <c r="AK177" s="163"/>
    </row>
    <row r="178" spans="1:37" ht="12" customHeight="1" outlineLevel="5">
      <c r="A178" s="132"/>
      <c r="B178" s="132"/>
      <c r="C178" s="132">
        <v>6</v>
      </c>
      <c r="D178" s="159" t="s">
        <v>2081</v>
      </c>
      <c r="E178" s="133"/>
      <c r="F178" s="133"/>
      <c r="G178" s="133"/>
      <c r="H178" s="133"/>
      <c r="I178" s="133"/>
      <c r="J178" s="133" t="s">
        <v>1566</v>
      </c>
      <c r="K178" s="133"/>
      <c r="L178" s="133"/>
      <c r="M178" s="133"/>
      <c r="N178" s="133"/>
      <c r="O178" s="133"/>
      <c r="P178" s="134">
        <v>44855</v>
      </c>
      <c r="Q178" s="134">
        <v>44858</v>
      </c>
      <c r="R178" s="133"/>
      <c r="S178" s="135">
        <v>2</v>
      </c>
      <c r="T178" s="135">
        <v>2</v>
      </c>
      <c r="U178" s="135">
        <v>2</v>
      </c>
      <c r="V178" s="135">
        <v>2</v>
      </c>
      <c r="W178" s="134">
        <v>44855</v>
      </c>
      <c r="X178" s="134">
        <v>44858</v>
      </c>
      <c r="Y178" s="136">
        <v>2</v>
      </c>
      <c r="Z178" s="137">
        <v>2</v>
      </c>
      <c r="AA178" s="135"/>
      <c r="AB178" s="209" t="s">
        <v>1773</v>
      </c>
      <c r="AC178" s="220"/>
      <c r="AD178" s="158">
        <v>1</v>
      </c>
      <c r="AE178" s="166">
        <v>1</v>
      </c>
      <c r="AF178" s="162"/>
      <c r="AG178" s="163" t="str">
        <f>"                                                  " &amp; TEXT(AE178,"#0.00%") &amp; "/" &amp; TEXT(AD178,"#0.00% ") &amp; "" &amp; "경력정보" &amp; "(유아람)" &amp; " " &amp; IF(P178="","",TEXT(P178,"M/D-")) &amp; IF(Q178="","",TEXT(Q178,"M/D")) &amp; " "</f>
        <v xml:space="preserve">                                                  100.00%/100.00% 경력정보(유아람) 10/21-10/24 </v>
      </c>
      <c r="AH178" s="163"/>
      <c r="AI178" s="163"/>
      <c r="AJ178" s="163"/>
      <c r="AK178" s="163"/>
    </row>
    <row r="179" spans="1:37" ht="12" customHeight="1" outlineLevel="5">
      <c r="A179" s="132"/>
      <c r="B179" s="132"/>
      <c r="C179" s="132">
        <v>6</v>
      </c>
      <c r="D179" s="159" t="s">
        <v>2082</v>
      </c>
      <c r="E179" s="133"/>
      <c r="F179" s="133"/>
      <c r="G179" s="133"/>
      <c r="H179" s="133"/>
      <c r="I179" s="133"/>
      <c r="J179" s="133" t="s">
        <v>1512</v>
      </c>
      <c r="K179" s="133"/>
      <c r="L179" s="133"/>
      <c r="M179" s="133"/>
      <c r="N179" s="133"/>
      <c r="O179" s="133"/>
      <c r="P179" s="134">
        <v>44859</v>
      </c>
      <c r="Q179" s="134">
        <v>44860</v>
      </c>
      <c r="R179" s="133"/>
      <c r="S179" s="135">
        <v>2</v>
      </c>
      <c r="T179" s="135">
        <v>2</v>
      </c>
      <c r="U179" s="135">
        <v>2</v>
      </c>
      <c r="V179" s="135">
        <v>2</v>
      </c>
      <c r="W179" s="134">
        <v>44859</v>
      </c>
      <c r="X179" s="134">
        <v>44860</v>
      </c>
      <c r="Y179" s="136">
        <v>2</v>
      </c>
      <c r="Z179" s="137">
        <v>2</v>
      </c>
      <c r="AA179" s="135"/>
      <c r="AB179" s="209" t="s">
        <v>1773</v>
      </c>
      <c r="AC179" s="220"/>
      <c r="AD179" s="158">
        <v>1</v>
      </c>
      <c r="AE179" s="166">
        <v>1</v>
      </c>
      <c r="AF179" s="162"/>
      <c r="AG179" s="163" t="str">
        <f>"                                                      " &amp; TEXT(AE179,"#0.00%") &amp; "/" &amp; TEXT(AD179,"#0.00% ") &amp; "" &amp; "프로젝트" &amp; "(유아람)" &amp; " " &amp; IF(P179="","",TEXT(P179,"M/D-")) &amp; IF(Q179="","",TEXT(Q179,"M/D")) &amp; " "</f>
        <v xml:space="preserve">                                                      100.00%/100.00% 프로젝트(유아람) 10/25-10/26 </v>
      </c>
      <c r="AH179" s="163"/>
      <c r="AI179" s="163"/>
      <c r="AJ179" s="163"/>
      <c r="AK179" s="163"/>
    </row>
    <row r="180" spans="1:37" ht="12" customHeight="1" outlineLevel="5">
      <c r="A180" s="132"/>
      <c r="B180" s="132"/>
      <c r="C180" s="132">
        <v>6</v>
      </c>
      <c r="D180" s="159" t="s">
        <v>2083</v>
      </c>
      <c r="E180" s="133"/>
      <c r="F180" s="133"/>
      <c r="G180" s="133"/>
      <c r="H180" s="133"/>
      <c r="I180" s="133"/>
      <c r="J180" s="133" t="s">
        <v>1567</v>
      </c>
      <c r="K180" s="133"/>
      <c r="L180" s="133"/>
      <c r="M180" s="133"/>
      <c r="N180" s="133"/>
      <c r="O180" s="133"/>
      <c r="P180" s="134">
        <v>44861</v>
      </c>
      <c r="Q180" s="134">
        <v>44862</v>
      </c>
      <c r="R180" s="133"/>
      <c r="S180" s="135">
        <v>2</v>
      </c>
      <c r="T180" s="135">
        <v>2</v>
      </c>
      <c r="U180" s="135">
        <v>2</v>
      </c>
      <c r="V180" s="135">
        <v>2</v>
      </c>
      <c r="W180" s="134">
        <v>44861</v>
      </c>
      <c r="X180" s="134">
        <v>44862</v>
      </c>
      <c r="Y180" s="136">
        <v>2</v>
      </c>
      <c r="Z180" s="137">
        <v>2</v>
      </c>
      <c r="AA180" s="135"/>
      <c r="AB180" s="209" t="s">
        <v>1773</v>
      </c>
      <c r="AC180" s="220"/>
      <c r="AD180" s="158">
        <v>1</v>
      </c>
      <c r="AE180" s="166">
        <v>1</v>
      </c>
      <c r="AF180" s="162"/>
      <c r="AG180" s="163" t="str">
        <f>"                                                          " &amp; TEXT(AE180,"#0.00%") &amp; "/" &amp; TEXT(AD180,"#0.00% ") &amp; "" &amp; "지원이력" &amp; "(유아람)" &amp; " " &amp; IF(P180="","",TEXT(P180,"M/D-")) &amp; IF(Q180="","",TEXT(Q180,"M/D")) &amp; " "</f>
        <v xml:space="preserve">                                                          100.00%/100.00% 지원이력(유아람) 10/27-10/28 </v>
      </c>
      <c r="AH180" s="163"/>
      <c r="AI180" s="163"/>
      <c r="AJ180" s="163"/>
      <c r="AK180" s="163"/>
    </row>
    <row r="181" spans="1:37" ht="12" customHeight="1" outlineLevel="5">
      <c r="A181" s="132"/>
      <c r="B181" s="132"/>
      <c r="C181" s="132">
        <v>6</v>
      </c>
      <c r="D181" s="159" t="s">
        <v>2084</v>
      </c>
      <c r="E181" s="133"/>
      <c r="F181" s="133"/>
      <c r="G181" s="133"/>
      <c r="H181" s="133"/>
      <c r="I181" s="133"/>
      <c r="J181" s="133" t="s">
        <v>1568</v>
      </c>
      <c r="K181" s="133"/>
      <c r="L181" s="133"/>
      <c r="M181" s="133"/>
      <c r="N181" s="133"/>
      <c r="O181" s="133"/>
      <c r="P181" s="134">
        <v>44865</v>
      </c>
      <c r="Q181" s="134">
        <v>44866</v>
      </c>
      <c r="R181" s="133"/>
      <c r="S181" s="135">
        <v>2</v>
      </c>
      <c r="T181" s="135">
        <v>2</v>
      </c>
      <c r="U181" s="135">
        <v>2</v>
      </c>
      <c r="V181" s="135">
        <v>2</v>
      </c>
      <c r="W181" s="134">
        <v>44865</v>
      </c>
      <c r="X181" s="134">
        <v>44866</v>
      </c>
      <c r="Y181" s="136">
        <v>2</v>
      </c>
      <c r="Z181" s="137">
        <v>2</v>
      </c>
      <c r="AA181" s="135"/>
      <c r="AB181" s="209" t="s">
        <v>1773</v>
      </c>
      <c r="AC181" s="220"/>
      <c r="AD181" s="158">
        <v>1</v>
      </c>
      <c r="AE181" s="166">
        <v>1</v>
      </c>
      <c r="AF181" s="162"/>
      <c r="AG181" s="163"/>
      <c r="AH181" s="163" t="str">
        <f>"  " &amp; TEXT(AE181,"#0.00%") &amp; "/" &amp; TEXT(AD181,"#0.00% ") &amp; "" &amp; "기타" &amp; "(유아람)" &amp; " " &amp; IF(P181="","",TEXT(P181,"M/D-")) &amp; IF(Q181="","",TEXT(Q181,"M/D")) &amp; " "</f>
        <v xml:space="preserve">  100.00%/100.00% 기타(유아람) 10/31-11/1 </v>
      </c>
      <c r="AI181" s="163"/>
      <c r="AJ181" s="163"/>
      <c r="AK181" s="163"/>
    </row>
    <row r="182" spans="1:37" ht="12" customHeight="1" outlineLevel="4">
      <c r="A182" s="132"/>
      <c r="B182" s="132"/>
      <c r="C182" s="132">
        <v>5</v>
      </c>
      <c r="D182" s="159" t="s">
        <v>2085</v>
      </c>
      <c r="E182" s="133"/>
      <c r="F182" s="133"/>
      <c r="G182" s="133"/>
      <c r="H182" s="133"/>
      <c r="I182" s="133" t="s">
        <v>1509</v>
      </c>
      <c r="J182" s="133"/>
      <c r="K182" s="133"/>
      <c r="L182" s="133"/>
      <c r="M182" s="133"/>
      <c r="N182" s="133"/>
      <c r="O182" s="133"/>
      <c r="P182" s="134">
        <v>44867</v>
      </c>
      <c r="Q182" s="134">
        <v>44873</v>
      </c>
      <c r="R182" s="133"/>
      <c r="S182" s="135">
        <v>5</v>
      </c>
      <c r="T182" s="135">
        <v>4</v>
      </c>
      <c r="U182" s="135">
        <v>5</v>
      </c>
      <c r="V182" s="135">
        <v>4</v>
      </c>
      <c r="W182" s="134">
        <v>44867</v>
      </c>
      <c r="X182" s="134"/>
      <c r="Y182" s="136">
        <v>4</v>
      </c>
      <c r="Z182" s="137">
        <v>0</v>
      </c>
      <c r="AA182" s="135"/>
      <c r="AB182" s="209" t="s">
        <v>1773</v>
      </c>
      <c r="AC182" s="220"/>
      <c r="AD182" s="158">
        <v>0.8</v>
      </c>
      <c r="AE182" s="166">
        <v>0.8</v>
      </c>
      <c r="AF182" s="162"/>
      <c r="AG182" s="163"/>
      <c r="AH182" s="163" t="str">
        <f>"               " &amp; TEXT(AE182,"#0.00%") &amp; "/" &amp; TEXT(AD182,"#0.00% ") &amp; "" &amp; "채용" &amp; "(유아람)" &amp; " " &amp; IF(P182="","",TEXT(P182,"M/D-")) &amp; IF(Q182="","",TEXT(Q182,"M/D")) &amp; " "</f>
        <v xml:space="preserve">               80.00%/80.00% 채용(유아람) 11/2-11/8 </v>
      </c>
      <c r="AI182" s="163"/>
      <c r="AJ182" s="163"/>
      <c r="AK182" s="163"/>
    </row>
    <row r="183" spans="1:37" ht="12" customHeight="1" outlineLevel="3">
      <c r="A183" s="132"/>
      <c r="B183" s="132" t="s">
        <v>1363</v>
      </c>
      <c r="C183" s="132">
        <v>4</v>
      </c>
      <c r="D183" s="159" t="s">
        <v>2086</v>
      </c>
      <c r="E183" s="133"/>
      <c r="F183" s="133"/>
      <c r="G183" s="133"/>
      <c r="H183" s="133" t="s">
        <v>1510</v>
      </c>
      <c r="I183" s="133"/>
      <c r="J183" s="133"/>
      <c r="K183" s="133"/>
      <c r="L183" s="133"/>
      <c r="M183" s="133"/>
      <c r="N183" s="133"/>
      <c r="O183" s="133"/>
      <c r="P183" s="134">
        <v>44840</v>
      </c>
      <c r="Q183" s="134">
        <v>44925</v>
      </c>
      <c r="R183" s="133"/>
      <c r="S183" s="135">
        <v>142</v>
      </c>
      <c r="T183" s="135">
        <v>43</v>
      </c>
      <c r="U183" s="135">
        <v>61</v>
      </c>
      <c r="V183" s="135">
        <v>22</v>
      </c>
      <c r="W183" s="134">
        <v>44840</v>
      </c>
      <c r="X183" s="134"/>
      <c r="Y183" s="136">
        <v>41</v>
      </c>
      <c r="Z183" s="137">
        <v>0</v>
      </c>
      <c r="AA183" s="135"/>
      <c r="AB183" s="209" t="s">
        <v>1774</v>
      </c>
      <c r="AC183" s="220"/>
      <c r="AD183" s="158">
        <v>0.30281690140845069</v>
      </c>
      <c r="AE183" s="165">
        <v>0.28873239436619719</v>
      </c>
      <c r="AF183" s="162"/>
      <c r="AG183" s="163" t="str">
        <f>"                                                              " &amp; TEXT(AE183,"#0.00%") &amp; "/" &amp; TEXT(AD183,"#0.00% ") &amp; ""</f>
        <v xml:space="preserve">                                                              28.87%/30.28% </v>
      </c>
      <c r="AH183" s="163"/>
      <c r="AI183" s="163" t="str">
        <f>"                                                              " &amp; "인사" &amp; "(형소담,유아람)" &amp; " " &amp; IF(P183="","",TEXT(P183,"M/D-")) &amp; IF(Q183="","",TEXT(Q183,"M/D")) &amp; " "</f>
        <v xml:space="preserve">                                                              인사(형소담,유아람) 10/6-12/30 </v>
      </c>
      <c r="AJ183" s="163"/>
      <c r="AK183" s="163"/>
    </row>
    <row r="184" spans="1:37" ht="12" customHeight="1" outlineLevel="4">
      <c r="A184" s="132"/>
      <c r="B184" s="132" t="s">
        <v>1363</v>
      </c>
      <c r="C184" s="132">
        <v>5</v>
      </c>
      <c r="D184" s="159" t="s">
        <v>2087</v>
      </c>
      <c r="E184" s="133"/>
      <c r="F184" s="133"/>
      <c r="G184" s="133"/>
      <c r="H184" s="133"/>
      <c r="I184" s="133" t="s">
        <v>1569</v>
      </c>
      <c r="J184" s="133"/>
      <c r="K184" s="133"/>
      <c r="L184" s="133"/>
      <c r="M184" s="133"/>
      <c r="N184" s="133"/>
      <c r="O184" s="133"/>
      <c r="P184" s="134">
        <v>44840</v>
      </c>
      <c r="Q184" s="134">
        <v>44925</v>
      </c>
      <c r="R184" s="133"/>
      <c r="S184" s="135">
        <v>59</v>
      </c>
      <c r="T184" s="135">
        <v>21</v>
      </c>
      <c r="U184" s="135">
        <v>61</v>
      </c>
      <c r="V184" s="135">
        <v>22</v>
      </c>
      <c r="W184" s="134">
        <v>44840</v>
      </c>
      <c r="X184" s="134"/>
      <c r="Y184" s="136">
        <v>21</v>
      </c>
      <c r="Z184" s="137">
        <v>0</v>
      </c>
      <c r="AA184" s="135"/>
      <c r="AB184" s="209" t="s">
        <v>1775</v>
      </c>
      <c r="AC184" s="220"/>
      <c r="AD184" s="158">
        <v>0.3559322033898305</v>
      </c>
      <c r="AE184" s="192">
        <v>0.3559322033898305</v>
      </c>
      <c r="AF184" s="162"/>
      <c r="AG184" s="163"/>
      <c r="AH184" s="163" t="str">
        <f>"           " &amp; TEXT(AE184,"#0.00%") &amp; "/" &amp; TEXT(AD184,"#0.00% ") &amp; ""</f>
        <v xml:space="preserve">           35.59%/35.59% </v>
      </c>
      <c r="AI184" s="163" t="str">
        <f>"                                                              " &amp; "인사정보등록" &amp; "(형소담)" &amp; " " &amp; IF(P184="","",TEXT(P184,"M/D-")) &amp; IF(Q184="","",TEXT(Q184,"M/D")) &amp; " "</f>
        <v xml:space="preserve">                                                              인사정보등록(형소담) 10/6-12/30 </v>
      </c>
      <c r="AJ184" s="163"/>
      <c r="AK184" s="163"/>
    </row>
    <row r="185" spans="1:37" ht="12" customHeight="1" outlineLevel="5">
      <c r="A185" s="132"/>
      <c r="B185" s="132"/>
      <c r="C185" s="132">
        <v>6</v>
      </c>
      <c r="D185" s="159" t="s">
        <v>2088</v>
      </c>
      <c r="E185" s="133"/>
      <c r="F185" s="133"/>
      <c r="G185" s="133"/>
      <c r="H185" s="133"/>
      <c r="I185" s="133"/>
      <c r="J185" s="133" t="s">
        <v>1561</v>
      </c>
      <c r="K185" s="133"/>
      <c r="L185" s="133"/>
      <c r="M185" s="133"/>
      <c r="N185" s="133"/>
      <c r="O185" s="133"/>
      <c r="P185" s="134">
        <v>44840</v>
      </c>
      <c r="Q185" s="134">
        <v>44840</v>
      </c>
      <c r="R185" s="133"/>
      <c r="S185" s="135">
        <v>1</v>
      </c>
      <c r="T185" s="135">
        <v>1</v>
      </c>
      <c r="U185" s="135">
        <v>1</v>
      </c>
      <c r="V185" s="135">
        <v>1</v>
      </c>
      <c r="W185" s="134">
        <v>44840</v>
      </c>
      <c r="X185" s="134">
        <v>44840</v>
      </c>
      <c r="Y185" s="136">
        <v>1</v>
      </c>
      <c r="Z185" s="137">
        <v>1</v>
      </c>
      <c r="AA185" s="135"/>
      <c r="AB185" s="209" t="s">
        <v>1775</v>
      </c>
      <c r="AC185" s="220"/>
      <c r="AD185" s="158">
        <v>1</v>
      </c>
      <c r="AE185" s="166">
        <v>1</v>
      </c>
      <c r="AF185" s="162"/>
      <c r="AG185" s="163" t="str">
        <f>"            " &amp; TEXT(AE185,"#0.00%") &amp; "/" &amp; TEXT(AD185,"#0.00% ") &amp; "" &amp; "검색" &amp; "(형소담)" &amp; " " &amp; IF(P185="","",TEXT(P185,"M/D-")) &amp; IF(Q185="","",TEXT(Q185,"M/D")) &amp; " "</f>
        <v xml:space="preserve">            100.00%/100.00% 검색(형소담) 10/6-10/6 </v>
      </c>
      <c r="AH185" s="163"/>
      <c r="AI185" s="163"/>
      <c r="AJ185" s="163"/>
      <c r="AK185" s="163"/>
    </row>
    <row r="186" spans="1:37" ht="12" customHeight="1" outlineLevel="5">
      <c r="A186" s="132"/>
      <c r="B186" s="132"/>
      <c r="C186" s="132">
        <v>6</v>
      </c>
      <c r="D186" s="159" t="s">
        <v>2089</v>
      </c>
      <c r="E186" s="133"/>
      <c r="F186" s="133"/>
      <c r="G186" s="133"/>
      <c r="H186" s="133"/>
      <c r="I186" s="133"/>
      <c r="J186" s="133" t="s">
        <v>1562</v>
      </c>
      <c r="K186" s="133"/>
      <c r="L186" s="133"/>
      <c r="M186" s="133"/>
      <c r="N186" s="133"/>
      <c r="O186" s="133"/>
      <c r="P186" s="134">
        <v>44841</v>
      </c>
      <c r="Q186" s="134">
        <v>44841</v>
      </c>
      <c r="R186" s="133"/>
      <c r="S186" s="135">
        <v>1</v>
      </c>
      <c r="T186" s="135">
        <v>1</v>
      </c>
      <c r="U186" s="135">
        <v>1</v>
      </c>
      <c r="V186" s="135">
        <v>1</v>
      </c>
      <c r="W186" s="134">
        <v>44841</v>
      </c>
      <c r="X186" s="134">
        <v>44841</v>
      </c>
      <c r="Y186" s="136">
        <v>1</v>
      </c>
      <c r="Z186" s="137">
        <v>1</v>
      </c>
      <c r="AA186" s="135"/>
      <c r="AB186" s="209" t="s">
        <v>1775</v>
      </c>
      <c r="AC186" s="220"/>
      <c r="AD186" s="158">
        <v>1</v>
      </c>
      <c r="AE186" s="166">
        <v>1</v>
      </c>
      <c r="AF186" s="162"/>
      <c r="AG186" s="163" t="str">
        <f>"              " &amp; TEXT(AE186,"#0.00%") &amp; "/" &amp; TEXT(AD186,"#0.00% ") &amp; "" &amp; "기본정보" &amp; "(형소담)" &amp; " " &amp; IF(P186="","",TEXT(P186,"M/D-")) &amp; IF(Q186="","",TEXT(Q186,"M/D")) &amp; " "</f>
        <v xml:space="preserve">              100.00%/100.00% 기본정보(형소담) 10/7-10/7 </v>
      </c>
      <c r="AH186" s="163"/>
      <c r="AI186" s="163"/>
      <c r="AJ186" s="163"/>
      <c r="AK186" s="163"/>
    </row>
    <row r="187" spans="1:37" ht="12" customHeight="1" outlineLevel="5">
      <c r="A187" s="132"/>
      <c r="B187" s="132" t="s">
        <v>1363</v>
      </c>
      <c r="C187" s="132">
        <v>6</v>
      </c>
      <c r="D187" s="159" t="s">
        <v>2090</v>
      </c>
      <c r="E187" s="133"/>
      <c r="F187" s="133"/>
      <c r="G187" s="133"/>
      <c r="H187" s="133"/>
      <c r="I187" s="133"/>
      <c r="J187" s="133" t="s">
        <v>1563</v>
      </c>
      <c r="K187" s="133"/>
      <c r="L187" s="133"/>
      <c r="M187" s="133"/>
      <c r="N187" s="133"/>
      <c r="O187" s="133"/>
      <c r="P187" s="134">
        <v>44846</v>
      </c>
      <c r="Q187" s="134">
        <v>44876</v>
      </c>
      <c r="R187" s="133"/>
      <c r="S187" s="135">
        <v>23</v>
      </c>
      <c r="T187" s="135">
        <v>19</v>
      </c>
      <c r="U187" s="135">
        <v>23</v>
      </c>
      <c r="V187" s="135">
        <v>19</v>
      </c>
      <c r="W187" s="134">
        <v>44846</v>
      </c>
      <c r="X187" s="134"/>
      <c r="Y187" s="136">
        <v>19</v>
      </c>
      <c r="Z187" s="137">
        <v>0</v>
      </c>
      <c r="AA187" s="135"/>
      <c r="AB187" s="209" t="s">
        <v>1775</v>
      </c>
      <c r="AC187" s="220"/>
      <c r="AD187" s="158">
        <v>0.82608695652173914</v>
      </c>
      <c r="AE187" s="192">
        <v>0.82608695652173914</v>
      </c>
      <c r="AF187" s="162"/>
      <c r="AG187" s="163"/>
      <c r="AH187" s="163" t="str">
        <f>"             " &amp; TEXT(AE187,"#0.00%") &amp; "/" &amp; TEXT(AD187,"#0.00% ") &amp; "" &amp; "상세정보" &amp; "(형소담)" &amp; " " &amp; IF(P187="","",TEXT(P187,"M/D-")) &amp; IF(Q187="","",TEXT(Q187,"M/D")) &amp; " "</f>
        <v xml:space="preserve">             82.61%/82.61% 상세정보(형소담) 10/12-11/11 </v>
      </c>
      <c r="AI187" s="163"/>
      <c r="AJ187" s="163"/>
      <c r="AK187" s="163"/>
    </row>
    <row r="188" spans="1:37" ht="12" customHeight="1" outlineLevel="6">
      <c r="A188" s="132"/>
      <c r="B188" s="132"/>
      <c r="C188" s="132">
        <v>7</v>
      </c>
      <c r="D188" s="159" t="s">
        <v>2091</v>
      </c>
      <c r="E188" s="133"/>
      <c r="F188" s="133"/>
      <c r="G188" s="133"/>
      <c r="H188" s="133"/>
      <c r="I188" s="133"/>
      <c r="J188" s="133"/>
      <c r="K188" s="133" t="s">
        <v>1564</v>
      </c>
      <c r="L188" s="133"/>
      <c r="M188" s="133"/>
      <c r="N188" s="133"/>
      <c r="O188" s="133"/>
      <c r="P188" s="134">
        <v>44846</v>
      </c>
      <c r="Q188" s="134">
        <v>44852</v>
      </c>
      <c r="R188" s="133"/>
      <c r="S188" s="135">
        <v>5</v>
      </c>
      <c r="T188" s="135">
        <v>5</v>
      </c>
      <c r="U188" s="135">
        <v>5</v>
      </c>
      <c r="V188" s="135">
        <v>5</v>
      </c>
      <c r="W188" s="134">
        <v>44846</v>
      </c>
      <c r="X188" s="134">
        <v>44852</v>
      </c>
      <c r="Y188" s="136">
        <v>5</v>
      </c>
      <c r="Z188" s="137">
        <v>5</v>
      </c>
      <c r="AA188" s="135"/>
      <c r="AB188" s="209" t="s">
        <v>1775</v>
      </c>
      <c r="AC188" s="220"/>
      <c r="AD188" s="158">
        <v>1</v>
      </c>
      <c r="AE188" s="166">
        <v>1</v>
      </c>
      <c r="AF188" s="162"/>
      <c r="AG188" s="163" t="str">
        <f>"                                     " &amp; TEXT(AE188,"#0.00%") &amp; "/" &amp; TEXT(AD188,"#0.00% ") &amp; "" &amp; "인적사항" &amp; "(형소담)" &amp; " " &amp; IF(P188="","",TEXT(P188,"M/D-")) &amp; IF(Q188="","",TEXT(Q188,"M/D")) &amp; " "</f>
        <v xml:space="preserve">                                     100.00%/100.00% 인적사항(형소담) 10/12-10/18 </v>
      </c>
      <c r="AH188" s="163"/>
      <c r="AI188" s="163"/>
      <c r="AJ188" s="163"/>
      <c r="AK188" s="163"/>
    </row>
    <row r="189" spans="1:37" ht="12" customHeight="1" outlineLevel="6">
      <c r="A189" s="132"/>
      <c r="B189" s="132"/>
      <c r="C189" s="132">
        <v>7</v>
      </c>
      <c r="D189" s="159" t="s">
        <v>2092</v>
      </c>
      <c r="E189" s="133"/>
      <c r="F189" s="133"/>
      <c r="G189" s="133"/>
      <c r="H189" s="133"/>
      <c r="I189" s="133"/>
      <c r="J189" s="133"/>
      <c r="K189" s="133" t="s">
        <v>1570</v>
      </c>
      <c r="L189" s="133"/>
      <c r="M189" s="133"/>
      <c r="N189" s="133"/>
      <c r="O189" s="133"/>
      <c r="P189" s="134">
        <v>44853</v>
      </c>
      <c r="Q189" s="134">
        <v>44854</v>
      </c>
      <c r="R189" s="133"/>
      <c r="S189" s="135">
        <v>2</v>
      </c>
      <c r="T189" s="135">
        <v>2</v>
      </c>
      <c r="U189" s="135">
        <v>2</v>
      </c>
      <c r="V189" s="135">
        <v>2</v>
      </c>
      <c r="W189" s="134">
        <v>44853</v>
      </c>
      <c r="X189" s="134">
        <v>44854</v>
      </c>
      <c r="Y189" s="136">
        <v>2</v>
      </c>
      <c r="Z189" s="137">
        <v>2</v>
      </c>
      <c r="AA189" s="135"/>
      <c r="AB189" s="209" t="s">
        <v>1775</v>
      </c>
      <c r="AC189" s="220"/>
      <c r="AD189" s="158">
        <v>1</v>
      </c>
      <c r="AE189" s="166">
        <v>1</v>
      </c>
      <c r="AF189" s="162"/>
      <c r="AG189" s="163" t="str">
        <f>"                                         " &amp; TEXT(AE189,"#0.00%") &amp; "/" &amp; TEXT(AD189,"#0.00% ") &amp; "" &amp; "가족사항" &amp; "(형소담)" &amp; " " &amp; IF(P189="","",TEXT(P189,"M/D-")) &amp; IF(Q189="","",TEXT(Q189,"M/D")) &amp; " "</f>
        <v xml:space="preserve">                                         100.00%/100.00% 가족사항(형소담) 10/19-10/20 </v>
      </c>
      <c r="AH189" s="163"/>
      <c r="AI189" s="163"/>
      <c r="AJ189" s="163"/>
      <c r="AK189" s="163"/>
    </row>
    <row r="190" spans="1:37" ht="12" customHeight="1" outlineLevel="6">
      <c r="A190" s="132"/>
      <c r="B190" s="132"/>
      <c r="C190" s="132">
        <v>7</v>
      </c>
      <c r="D190" s="159" t="s">
        <v>2093</v>
      </c>
      <c r="E190" s="133"/>
      <c r="F190" s="133"/>
      <c r="G190" s="133"/>
      <c r="H190" s="133"/>
      <c r="I190" s="133"/>
      <c r="J190" s="133"/>
      <c r="K190" s="133" t="s">
        <v>1565</v>
      </c>
      <c r="L190" s="133"/>
      <c r="M190" s="133"/>
      <c r="N190" s="133"/>
      <c r="O190" s="133"/>
      <c r="P190" s="134">
        <v>44855</v>
      </c>
      <c r="Q190" s="134">
        <v>44858</v>
      </c>
      <c r="R190" s="133"/>
      <c r="S190" s="135">
        <v>2</v>
      </c>
      <c r="T190" s="135">
        <v>2</v>
      </c>
      <c r="U190" s="135">
        <v>2</v>
      </c>
      <c r="V190" s="135">
        <v>2</v>
      </c>
      <c r="W190" s="134">
        <v>44855</v>
      </c>
      <c r="X190" s="134">
        <v>44858</v>
      </c>
      <c r="Y190" s="136">
        <v>2</v>
      </c>
      <c r="Z190" s="137">
        <v>2</v>
      </c>
      <c r="AA190" s="135"/>
      <c r="AB190" s="209" t="s">
        <v>1775</v>
      </c>
      <c r="AC190" s="220"/>
      <c r="AD190" s="158">
        <v>1</v>
      </c>
      <c r="AE190" s="166">
        <v>1</v>
      </c>
      <c r="AF190" s="162"/>
      <c r="AG190" s="163" t="str">
        <f>"                                                  " &amp; TEXT(AE190,"#0.00%") &amp; "/" &amp; TEXT(AD190,"#0.00% ") &amp; "" &amp; "학력정보" &amp; "(형소담)" &amp; " " &amp; IF(P190="","",TEXT(P190,"M/D-")) &amp; IF(Q190="","",TEXT(Q190,"M/D")) &amp; " "</f>
        <v xml:space="preserve">                                                  100.00%/100.00% 학력정보(형소담) 10/21-10/24 </v>
      </c>
      <c r="AH190" s="163"/>
      <c r="AI190" s="163"/>
      <c r="AJ190" s="163"/>
      <c r="AK190" s="163"/>
    </row>
    <row r="191" spans="1:37" ht="12" customHeight="1" outlineLevel="6">
      <c r="A191" s="132"/>
      <c r="B191" s="132"/>
      <c r="C191" s="132">
        <v>7</v>
      </c>
      <c r="D191" s="159" t="s">
        <v>2094</v>
      </c>
      <c r="E191" s="133"/>
      <c r="F191" s="133"/>
      <c r="G191" s="133"/>
      <c r="H191" s="133"/>
      <c r="I191" s="133"/>
      <c r="J191" s="133"/>
      <c r="K191" s="133" t="s">
        <v>1566</v>
      </c>
      <c r="L191" s="133"/>
      <c r="M191" s="133"/>
      <c r="N191" s="133"/>
      <c r="O191" s="133"/>
      <c r="P191" s="134">
        <v>44859</v>
      </c>
      <c r="Q191" s="134">
        <v>44860</v>
      </c>
      <c r="R191" s="133"/>
      <c r="S191" s="135">
        <v>2</v>
      </c>
      <c r="T191" s="135">
        <v>2</v>
      </c>
      <c r="U191" s="135">
        <v>2</v>
      </c>
      <c r="V191" s="135">
        <v>2</v>
      </c>
      <c r="W191" s="134">
        <v>44859</v>
      </c>
      <c r="X191" s="134">
        <v>44860</v>
      </c>
      <c r="Y191" s="136">
        <v>2</v>
      </c>
      <c r="Z191" s="137">
        <v>2</v>
      </c>
      <c r="AA191" s="135"/>
      <c r="AB191" s="209" t="s">
        <v>1775</v>
      </c>
      <c r="AC191" s="220"/>
      <c r="AD191" s="158">
        <v>1</v>
      </c>
      <c r="AE191" s="166">
        <v>1</v>
      </c>
      <c r="AF191" s="162"/>
      <c r="AG191" s="163" t="str">
        <f>"                                                      " &amp; TEXT(AE191,"#0.00%") &amp; "/" &amp; TEXT(AD191,"#0.00% ") &amp; "" &amp; "경력정보" &amp; "(형소담)" &amp; " " &amp; IF(P191="","",TEXT(P191,"M/D-")) &amp; IF(Q191="","",TEXT(Q191,"M/D")) &amp; " "</f>
        <v xml:space="preserve">                                                      100.00%/100.00% 경력정보(형소담) 10/25-10/26 </v>
      </c>
      <c r="AH191" s="163"/>
      <c r="AI191" s="163"/>
      <c r="AJ191" s="163"/>
      <c r="AK191" s="163"/>
    </row>
    <row r="192" spans="1:37" ht="12" customHeight="1" outlineLevel="6">
      <c r="A192" s="132"/>
      <c r="B192" s="132"/>
      <c r="C192" s="132">
        <v>7</v>
      </c>
      <c r="D192" s="159" t="s">
        <v>2095</v>
      </c>
      <c r="E192" s="133"/>
      <c r="F192" s="133"/>
      <c r="G192" s="133"/>
      <c r="H192" s="133"/>
      <c r="I192" s="133"/>
      <c r="J192" s="133"/>
      <c r="K192" s="133" t="s">
        <v>1571</v>
      </c>
      <c r="L192" s="133"/>
      <c r="M192" s="133"/>
      <c r="N192" s="133"/>
      <c r="O192" s="133"/>
      <c r="P192" s="134">
        <v>44861</v>
      </c>
      <c r="Q192" s="134">
        <v>44862</v>
      </c>
      <c r="R192" s="133"/>
      <c r="S192" s="135">
        <v>2</v>
      </c>
      <c r="T192" s="135">
        <v>2</v>
      </c>
      <c r="U192" s="135">
        <v>2</v>
      </c>
      <c r="V192" s="135">
        <v>2</v>
      </c>
      <c r="W192" s="134">
        <v>44861</v>
      </c>
      <c r="X192" s="134">
        <v>44862</v>
      </c>
      <c r="Y192" s="136">
        <v>2</v>
      </c>
      <c r="Z192" s="137">
        <v>2</v>
      </c>
      <c r="AA192" s="135"/>
      <c r="AB192" s="209" t="s">
        <v>1775</v>
      </c>
      <c r="AC192" s="220"/>
      <c r="AD192" s="158">
        <v>1</v>
      </c>
      <c r="AE192" s="166">
        <v>1</v>
      </c>
      <c r="AF192" s="162"/>
      <c r="AG192" s="163" t="str">
        <f>"                                                          " &amp; TEXT(AE192,"#0.00%") &amp; "/" &amp; TEXT(AD192,"#0.00% ") &amp; "" &amp; "자격증" &amp; "(형소담)" &amp; " " &amp; IF(P192="","",TEXT(P192,"M/D-")) &amp; IF(Q192="","",TEXT(Q192,"M/D")) &amp; " "</f>
        <v xml:space="preserve">                                                          100.00%/100.00% 자격증(형소담) 10/27-10/28 </v>
      </c>
      <c r="AH192" s="163"/>
      <c r="AI192" s="163"/>
      <c r="AJ192" s="163"/>
      <c r="AK192" s="163"/>
    </row>
    <row r="193" spans="1:37" ht="12" customHeight="1" outlineLevel="6">
      <c r="A193" s="132"/>
      <c r="B193" s="132"/>
      <c r="C193" s="132">
        <v>7</v>
      </c>
      <c r="D193" s="159" t="s">
        <v>2096</v>
      </c>
      <c r="E193" s="133"/>
      <c r="F193" s="133"/>
      <c r="G193" s="133"/>
      <c r="H193" s="133"/>
      <c r="I193" s="133"/>
      <c r="J193" s="133"/>
      <c r="K193" s="133" t="s">
        <v>1572</v>
      </c>
      <c r="L193" s="133"/>
      <c r="M193" s="133"/>
      <c r="N193" s="133"/>
      <c r="O193" s="133"/>
      <c r="P193" s="134">
        <v>44865</v>
      </c>
      <c r="Q193" s="134">
        <v>44866</v>
      </c>
      <c r="R193" s="133"/>
      <c r="S193" s="135">
        <v>2</v>
      </c>
      <c r="T193" s="135">
        <v>2</v>
      </c>
      <c r="U193" s="135">
        <v>2</v>
      </c>
      <c r="V193" s="135">
        <v>2</v>
      </c>
      <c r="W193" s="134">
        <v>44865</v>
      </c>
      <c r="X193" s="134">
        <v>44866</v>
      </c>
      <c r="Y193" s="136">
        <v>2</v>
      </c>
      <c r="Z193" s="137">
        <v>2</v>
      </c>
      <c r="AA193" s="135"/>
      <c r="AB193" s="209" t="s">
        <v>1775</v>
      </c>
      <c r="AC193" s="220"/>
      <c r="AD193" s="158">
        <v>1</v>
      </c>
      <c r="AE193" s="166">
        <v>1</v>
      </c>
      <c r="AF193" s="162"/>
      <c r="AG193" s="163"/>
      <c r="AH193" s="163" t="str">
        <f>"  " &amp; TEXT(AE193,"#0.00%") &amp; "/" &amp; TEXT(AD193,"#0.00% ") &amp; "" &amp; "외부프로젝트" &amp; "(형소담)" &amp; " " &amp; IF(P193="","",TEXT(P193,"M/D-")) &amp; IF(Q193="","",TEXT(Q193,"M/D")) &amp; " "</f>
        <v xml:space="preserve">  100.00%/100.00% 외부프로젝트(형소담) 10/31-11/1 </v>
      </c>
      <c r="AI193" s="163"/>
      <c r="AJ193" s="163"/>
      <c r="AK193" s="163"/>
    </row>
    <row r="194" spans="1:37" ht="12" customHeight="1" outlineLevel="6">
      <c r="A194" s="132"/>
      <c r="B194" s="132"/>
      <c r="C194" s="132">
        <v>7</v>
      </c>
      <c r="D194" s="159" t="s">
        <v>2097</v>
      </c>
      <c r="E194" s="133"/>
      <c r="F194" s="133"/>
      <c r="G194" s="133"/>
      <c r="H194" s="133"/>
      <c r="I194" s="133"/>
      <c r="J194" s="133"/>
      <c r="K194" s="227" t="s">
        <v>1573</v>
      </c>
      <c r="L194" s="133"/>
      <c r="M194" s="133"/>
      <c r="N194" s="133"/>
      <c r="O194" s="133"/>
      <c r="P194" s="134">
        <v>44867</v>
      </c>
      <c r="Q194" s="134">
        <v>44868</v>
      </c>
      <c r="R194" s="133"/>
      <c r="S194" s="135">
        <v>2</v>
      </c>
      <c r="T194" s="135">
        <v>2</v>
      </c>
      <c r="U194" s="135">
        <v>2</v>
      </c>
      <c r="V194" s="135">
        <v>2</v>
      </c>
      <c r="W194" s="134">
        <v>44867</v>
      </c>
      <c r="X194" s="134"/>
      <c r="Y194" s="136">
        <v>0</v>
      </c>
      <c r="Z194" s="137">
        <v>0</v>
      </c>
      <c r="AA194" s="135"/>
      <c r="AB194" s="209" t="s">
        <v>1775</v>
      </c>
      <c r="AC194" s="220"/>
      <c r="AD194" s="158">
        <v>1</v>
      </c>
      <c r="AE194" s="164">
        <v>0</v>
      </c>
      <c r="AF194" s="162"/>
      <c r="AG194" s="163"/>
      <c r="AH194" s="163" t="str">
        <f>"  " &amp; TEXT(AE194,"#0.00%") &amp; "/" &amp; TEXT(AD194,"#0.00% ") &amp; "" &amp; "사내프로젝트" &amp; "(형소담)" &amp; " " &amp; IF(P194="","",TEXT(P194,"M/D-")) &amp; IF(Q194="","",TEXT(Q194,"M/D")) &amp; " "</f>
        <v xml:space="preserve">  0.00%/100.00% 사내프로젝트(형소담) 11/2-11/3 </v>
      </c>
      <c r="AI194" s="163"/>
      <c r="AJ194" s="163"/>
      <c r="AK194" s="163"/>
    </row>
    <row r="195" spans="1:37" ht="12" customHeight="1" outlineLevel="6">
      <c r="A195" s="132"/>
      <c r="B195" s="132"/>
      <c r="C195" s="132">
        <v>7</v>
      </c>
      <c r="D195" s="159" t="s">
        <v>2098</v>
      </c>
      <c r="E195" s="133"/>
      <c r="F195" s="133"/>
      <c r="G195" s="133"/>
      <c r="H195" s="133"/>
      <c r="I195" s="133"/>
      <c r="J195" s="133"/>
      <c r="K195" s="227" t="s">
        <v>1574</v>
      </c>
      <c r="L195" s="133"/>
      <c r="M195" s="133"/>
      <c r="N195" s="133"/>
      <c r="O195" s="133"/>
      <c r="P195" s="134">
        <v>44869</v>
      </c>
      <c r="Q195" s="134">
        <v>44872</v>
      </c>
      <c r="R195" s="133"/>
      <c r="S195" s="135">
        <v>2</v>
      </c>
      <c r="T195" s="135">
        <v>2</v>
      </c>
      <c r="U195" s="135">
        <v>2</v>
      </c>
      <c r="V195" s="135">
        <v>2</v>
      </c>
      <c r="W195" s="134">
        <v>44869</v>
      </c>
      <c r="X195" s="134"/>
      <c r="Y195" s="136">
        <v>0</v>
      </c>
      <c r="Z195" s="137">
        <v>0</v>
      </c>
      <c r="AA195" s="135"/>
      <c r="AB195" s="209" t="s">
        <v>1775</v>
      </c>
      <c r="AC195" s="220"/>
      <c r="AD195" s="158">
        <v>1</v>
      </c>
      <c r="AE195" s="164">
        <v>0</v>
      </c>
      <c r="AF195" s="162"/>
      <c r="AG195" s="163"/>
      <c r="AH195" s="163" t="str">
        <f>"      " &amp; TEXT(AE195,"#0.00%") &amp; "/" &amp; TEXT(AD195,"#0.00% ") &amp; "" &amp; "교육정보" &amp; "(형소담)" &amp; " " &amp; IF(P195="","",TEXT(P195,"M/D-")) &amp; IF(Q195="","",TEXT(Q195,"M/D")) &amp; " "</f>
        <v xml:space="preserve">      0.00%/100.00% 교육정보(형소담) 11/4-11/7 </v>
      </c>
      <c r="AI195" s="163"/>
      <c r="AJ195" s="163"/>
      <c r="AK195" s="163"/>
    </row>
    <row r="196" spans="1:37" ht="12" customHeight="1" outlineLevel="6">
      <c r="A196" s="132"/>
      <c r="B196" s="132"/>
      <c r="C196" s="132">
        <v>7</v>
      </c>
      <c r="D196" s="159" t="s">
        <v>2099</v>
      </c>
      <c r="E196" s="133"/>
      <c r="F196" s="133"/>
      <c r="G196" s="133"/>
      <c r="H196" s="133"/>
      <c r="I196" s="133"/>
      <c r="J196" s="133"/>
      <c r="K196" s="133" t="s">
        <v>1575</v>
      </c>
      <c r="L196" s="133"/>
      <c r="M196" s="133"/>
      <c r="N196" s="133"/>
      <c r="O196" s="133"/>
      <c r="P196" s="134">
        <v>44873</v>
      </c>
      <c r="Q196" s="134">
        <v>44874</v>
      </c>
      <c r="R196" s="133"/>
      <c r="S196" s="135">
        <v>2</v>
      </c>
      <c r="T196" s="135">
        <v>0</v>
      </c>
      <c r="U196" s="135">
        <v>2</v>
      </c>
      <c r="V196" s="135">
        <v>0</v>
      </c>
      <c r="W196" s="134">
        <v>44873</v>
      </c>
      <c r="X196" s="134">
        <v>44874</v>
      </c>
      <c r="Y196" s="136">
        <v>2</v>
      </c>
      <c r="Z196" s="137">
        <v>2</v>
      </c>
      <c r="AA196" s="135"/>
      <c r="AB196" s="209" t="s">
        <v>1775</v>
      </c>
      <c r="AC196" s="220"/>
      <c r="AD196" s="158">
        <v>0</v>
      </c>
      <c r="AE196" s="207">
        <v>1</v>
      </c>
      <c r="AF196" s="162"/>
      <c r="AG196" s="163"/>
      <c r="AH196" s="163" t="str">
        <f>"                   " &amp; TEXT(AE196,"#0.00%") &amp; "/" &amp; TEXT(AD196,"#0.00% ") &amp; "" &amp; "상벌정보" &amp; "(형소담)" &amp; " " &amp; IF(P196="","",TEXT(P196,"M/D-")) &amp; IF(Q196="","",TEXT(Q196,"M/D")) &amp; " "</f>
        <v xml:space="preserve">                   100.00%/0.00% 상벌정보(형소담) 11/8-11/9 </v>
      </c>
      <c r="AI196" s="163"/>
      <c r="AJ196" s="163"/>
      <c r="AK196" s="163"/>
    </row>
    <row r="197" spans="1:37" ht="12" customHeight="1" outlineLevel="6">
      <c r="A197" s="132"/>
      <c r="B197" s="132"/>
      <c r="C197" s="132">
        <v>7</v>
      </c>
      <c r="D197" s="159" t="s">
        <v>2100</v>
      </c>
      <c r="E197" s="133"/>
      <c r="F197" s="133"/>
      <c r="G197" s="133"/>
      <c r="H197" s="133"/>
      <c r="I197" s="133"/>
      <c r="J197" s="133"/>
      <c r="K197" s="133" t="s">
        <v>1568</v>
      </c>
      <c r="L197" s="133"/>
      <c r="M197" s="133"/>
      <c r="N197" s="133"/>
      <c r="O197" s="133"/>
      <c r="P197" s="134">
        <v>44875</v>
      </c>
      <c r="Q197" s="134">
        <v>44876</v>
      </c>
      <c r="R197" s="133"/>
      <c r="S197" s="135">
        <v>2</v>
      </c>
      <c r="T197" s="135">
        <v>0</v>
      </c>
      <c r="U197" s="135">
        <v>2</v>
      </c>
      <c r="V197" s="135">
        <v>0</v>
      </c>
      <c r="W197" s="134">
        <v>44875</v>
      </c>
      <c r="X197" s="134">
        <v>44876</v>
      </c>
      <c r="Y197" s="136">
        <v>2</v>
      </c>
      <c r="Z197" s="137">
        <v>2</v>
      </c>
      <c r="AA197" s="135"/>
      <c r="AB197" s="209" t="s">
        <v>1775</v>
      </c>
      <c r="AC197" s="220"/>
      <c r="AD197" s="158">
        <v>0</v>
      </c>
      <c r="AE197" s="207">
        <v>1</v>
      </c>
      <c r="AF197" s="162"/>
      <c r="AG197" s="163"/>
      <c r="AH197" s="163" t="str">
        <f>"                       " &amp; TEXT(AE197,"#0.00%") &amp; "/" &amp; TEXT(AD197,"#0.00% ") &amp; "" &amp; "기타" &amp; "(형소담)" &amp; " " &amp; IF(P197="","",TEXT(P197,"M/D-")) &amp; IF(Q197="","",TEXT(Q197,"M/D")) &amp; " "</f>
        <v xml:space="preserve">                       100.00%/0.00% 기타(형소담) 11/10-11/11 </v>
      </c>
      <c r="AI197" s="163"/>
      <c r="AJ197" s="163"/>
      <c r="AK197" s="163"/>
    </row>
    <row r="198" spans="1:37" ht="12" customHeight="1" outlineLevel="5">
      <c r="A198" s="132"/>
      <c r="B198" s="132"/>
      <c r="C198" s="132">
        <v>6</v>
      </c>
      <c r="D198" s="159" t="s">
        <v>2101</v>
      </c>
      <c r="E198" s="133"/>
      <c r="F198" s="133"/>
      <c r="G198" s="133"/>
      <c r="H198" s="133"/>
      <c r="I198" s="133"/>
      <c r="J198" s="133" t="s">
        <v>1576</v>
      </c>
      <c r="K198" s="133"/>
      <c r="L198" s="133"/>
      <c r="M198" s="133"/>
      <c r="N198" s="133"/>
      <c r="O198" s="133"/>
      <c r="P198" s="134">
        <v>44879</v>
      </c>
      <c r="Q198" s="134">
        <v>44897</v>
      </c>
      <c r="R198" s="133"/>
      <c r="S198" s="135">
        <v>15</v>
      </c>
      <c r="T198" s="135">
        <v>0</v>
      </c>
      <c r="U198" s="135">
        <v>15</v>
      </c>
      <c r="V198" s="135">
        <v>0</v>
      </c>
      <c r="W198" s="134"/>
      <c r="X198" s="134"/>
      <c r="Y198" s="136">
        <v>0</v>
      </c>
      <c r="Z198" s="137">
        <v>0</v>
      </c>
      <c r="AA198" s="135"/>
      <c r="AB198" s="209" t="s">
        <v>1775</v>
      </c>
      <c r="AC198" s="220"/>
      <c r="AD198" s="158">
        <v>0</v>
      </c>
      <c r="AE198" s="166">
        <v>0</v>
      </c>
      <c r="AF198" s="162"/>
      <c r="AG198" s="163"/>
      <c r="AH198" s="163" t="str">
        <f>"                            " &amp; TEXT(AE198,"#0.00%") &amp; "/" &amp; TEXT(AD198,"#0.00% ") &amp; ""</f>
        <v xml:space="preserve">                            0.00%/0.00% </v>
      </c>
      <c r="AI198" s="163" t="str">
        <f>"    " &amp; "프로필보기" &amp; "(형소담)" &amp; " " &amp; IF(P198="","",TEXT(P198,"M/D-")) &amp; IF(Q198="","",TEXT(Q198,"M/D")) &amp; " "</f>
        <v xml:space="preserve">    프로필보기(형소담) 11/14-12/2 </v>
      </c>
      <c r="AJ198" s="163"/>
      <c r="AK198" s="163"/>
    </row>
    <row r="199" spans="1:37" ht="12" customHeight="1" outlineLevel="5">
      <c r="A199" s="132"/>
      <c r="B199" s="132" t="s">
        <v>1363</v>
      </c>
      <c r="C199" s="132">
        <v>6</v>
      </c>
      <c r="D199" s="159" t="s">
        <v>2102</v>
      </c>
      <c r="E199" s="133"/>
      <c r="F199" s="133"/>
      <c r="G199" s="133"/>
      <c r="H199" s="133"/>
      <c r="I199" s="133"/>
      <c r="J199" s="133" t="s">
        <v>1544</v>
      </c>
      <c r="K199" s="133"/>
      <c r="L199" s="133"/>
      <c r="M199" s="133"/>
      <c r="N199" s="133"/>
      <c r="O199" s="133"/>
      <c r="P199" s="134">
        <v>44900</v>
      </c>
      <c r="Q199" s="134">
        <v>44925</v>
      </c>
      <c r="R199" s="133"/>
      <c r="S199" s="135">
        <v>19</v>
      </c>
      <c r="T199" s="135">
        <v>0</v>
      </c>
      <c r="U199" s="135">
        <v>20</v>
      </c>
      <c r="V199" s="135">
        <v>0</v>
      </c>
      <c r="W199" s="134"/>
      <c r="X199" s="134"/>
      <c r="Y199" s="136">
        <v>0</v>
      </c>
      <c r="Z199" s="137">
        <v>0</v>
      </c>
      <c r="AA199" s="135"/>
      <c r="AB199" s="209" t="s">
        <v>1775</v>
      </c>
      <c r="AC199" s="220"/>
      <c r="AD199" s="158">
        <v>0</v>
      </c>
      <c r="AE199" s="192">
        <v>0</v>
      </c>
      <c r="AF199" s="162"/>
      <c r="AG199" s="163"/>
      <c r="AH199" s="163"/>
      <c r="AI199" s="163" t="str">
        <f>"        " &amp; TEXT(AE199,"#0.00%") &amp; "/" &amp; TEXT(AD199,"#0.00% ") &amp; "" &amp; "인사발령" &amp; "(형소담)" &amp; " " &amp; IF(P199="","",TEXT(P199,"M/D-")) &amp; IF(Q199="","",TEXT(Q199,"M/D")) &amp; " "</f>
        <v xml:space="preserve">        0.00%/0.00% 인사발령(형소담) 12/5-12/30 </v>
      </c>
      <c r="AJ199" s="163"/>
      <c r="AK199" s="163"/>
    </row>
    <row r="200" spans="1:37" ht="12" customHeight="1" outlineLevel="6">
      <c r="A200" s="132"/>
      <c r="B200" s="132"/>
      <c r="C200" s="132">
        <v>7</v>
      </c>
      <c r="D200" s="159" t="s">
        <v>2103</v>
      </c>
      <c r="E200" s="133"/>
      <c r="F200" s="133"/>
      <c r="G200" s="133"/>
      <c r="H200" s="133"/>
      <c r="I200" s="133"/>
      <c r="J200" s="133"/>
      <c r="K200" s="133" t="s">
        <v>1577</v>
      </c>
      <c r="L200" s="133"/>
      <c r="M200" s="133"/>
      <c r="N200" s="133"/>
      <c r="O200" s="133"/>
      <c r="P200" s="134">
        <v>44900</v>
      </c>
      <c r="Q200" s="134">
        <v>44901</v>
      </c>
      <c r="R200" s="133"/>
      <c r="S200" s="135">
        <v>2</v>
      </c>
      <c r="T200" s="135">
        <v>0</v>
      </c>
      <c r="U200" s="135">
        <v>2</v>
      </c>
      <c r="V200" s="135">
        <v>0</v>
      </c>
      <c r="W200" s="134"/>
      <c r="X200" s="134"/>
      <c r="Y200" s="136">
        <v>0</v>
      </c>
      <c r="Z200" s="137">
        <v>0</v>
      </c>
      <c r="AA200" s="135"/>
      <c r="AB200" s="209" t="s">
        <v>1775</v>
      </c>
      <c r="AC200" s="220"/>
      <c r="AD200" s="158">
        <v>0</v>
      </c>
      <c r="AE200" s="166">
        <v>0</v>
      </c>
      <c r="AF200" s="162"/>
      <c r="AG200" s="163"/>
      <c r="AH200" s="163"/>
      <c r="AI200" s="163" t="str">
        <f>"        " &amp; TEXT(AE200,"#0.00%") &amp; "/" &amp; TEXT(AD200,"#0.00% ") &amp; "" &amp; "발령이력" &amp; "(형소담)" &amp; " " &amp; IF(P200="","",TEXT(P200,"M/D-")) &amp; IF(Q200="","",TEXT(Q200,"M/D")) &amp; " "</f>
        <v xml:space="preserve">        0.00%/0.00% 발령이력(형소담) 12/5-12/6 </v>
      </c>
      <c r="AJ200" s="163"/>
      <c r="AK200" s="163"/>
    </row>
    <row r="201" spans="1:37" ht="12" customHeight="1" outlineLevel="6">
      <c r="A201" s="132"/>
      <c r="B201" s="132" t="s">
        <v>1363</v>
      </c>
      <c r="C201" s="132">
        <v>7</v>
      </c>
      <c r="D201" s="159" t="s">
        <v>2104</v>
      </c>
      <c r="E201" s="133"/>
      <c r="F201" s="133"/>
      <c r="G201" s="133"/>
      <c r="H201" s="133"/>
      <c r="I201" s="133"/>
      <c r="J201" s="133"/>
      <c r="K201" s="133" t="s">
        <v>1578</v>
      </c>
      <c r="L201" s="133"/>
      <c r="M201" s="133"/>
      <c r="N201" s="133"/>
      <c r="O201" s="133"/>
      <c r="P201" s="134">
        <v>44902</v>
      </c>
      <c r="Q201" s="134">
        <v>44925</v>
      </c>
      <c r="R201" s="133"/>
      <c r="S201" s="135">
        <v>17</v>
      </c>
      <c r="T201" s="135">
        <v>0</v>
      </c>
      <c r="U201" s="135">
        <v>18</v>
      </c>
      <c r="V201" s="135">
        <v>0</v>
      </c>
      <c r="W201" s="134"/>
      <c r="X201" s="134"/>
      <c r="Y201" s="136">
        <v>0</v>
      </c>
      <c r="Z201" s="137">
        <v>0</v>
      </c>
      <c r="AA201" s="135"/>
      <c r="AB201" s="209" t="s">
        <v>1775</v>
      </c>
      <c r="AC201" s="220"/>
      <c r="AD201" s="158">
        <v>0</v>
      </c>
      <c r="AE201" s="192">
        <v>0</v>
      </c>
      <c r="AF201" s="162"/>
      <c r="AG201" s="163"/>
      <c r="AH201" s="163"/>
      <c r="AI201" s="163" t="str">
        <f>"            " &amp; TEXT(AE201,"#0.00%") &amp; "/" &amp; TEXT(AD201,"#0.00% ") &amp; "" &amp; "발령등록" &amp; "(형소담)" &amp; " " &amp; IF(P201="","",TEXT(P201,"M/D-")) &amp; IF(Q201="","",TEXT(Q201,"M/D")) &amp; " "</f>
        <v xml:space="preserve">            0.00%/0.00% 발령등록(형소담) 12/7-12/30 </v>
      </c>
      <c r="AJ201" s="163"/>
      <c r="AK201" s="163"/>
    </row>
    <row r="202" spans="1:37" ht="12" customHeight="1" outlineLevel="7">
      <c r="A202" s="132"/>
      <c r="B202" s="132"/>
      <c r="C202" s="132">
        <v>8</v>
      </c>
      <c r="D202" s="159" t="s">
        <v>2105</v>
      </c>
      <c r="E202" s="133"/>
      <c r="F202" s="133"/>
      <c r="G202" s="133"/>
      <c r="H202" s="133"/>
      <c r="I202" s="133"/>
      <c r="J202" s="133"/>
      <c r="K202" s="133"/>
      <c r="L202" s="133" t="s">
        <v>1579</v>
      </c>
      <c r="M202" s="133"/>
      <c r="N202" s="133"/>
      <c r="O202" s="133"/>
      <c r="P202" s="134">
        <v>44902</v>
      </c>
      <c r="Q202" s="134">
        <v>44908</v>
      </c>
      <c r="R202" s="133"/>
      <c r="S202" s="135">
        <v>5</v>
      </c>
      <c r="T202" s="135">
        <v>0</v>
      </c>
      <c r="U202" s="135">
        <v>5</v>
      </c>
      <c r="V202" s="135">
        <v>0</v>
      </c>
      <c r="W202" s="134"/>
      <c r="X202" s="134"/>
      <c r="Y202" s="136">
        <v>0</v>
      </c>
      <c r="Z202" s="137">
        <v>0</v>
      </c>
      <c r="AA202" s="135"/>
      <c r="AB202" s="209" t="s">
        <v>1775</v>
      </c>
      <c r="AC202" s="220"/>
      <c r="AD202" s="158">
        <v>0</v>
      </c>
      <c r="AE202" s="166">
        <v>0</v>
      </c>
      <c r="AF202" s="162"/>
      <c r="AG202" s="163"/>
      <c r="AH202" s="163"/>
      <c r="AI202" s="163" t="str">
        <f>"            " &amp; TEXT(AE202,"#0.00%") &amp; "/" &amp; TEXT(AD202,"#0.00% ") &amp; "" &amp; "대상자선택" &amp; "(형소담)" &amp; " " &amp; IF(P202="","",TEXT(P202,"M/D-")) &amp; IF(Q202="","",TEXT(Q202,"M/D")) &amp; " "</f>
        <v xml:space="preserve">            0.00%/0.00% 대상자선택(형소담) 12/7-12/13 </v>
      </c>
      <c r="AJ202" s="163"/>
      <c r="AK202" s="163"/>
    </row>
    <row r="203" spans="1:37" ht="12" customHeight="1" outlineLevel="7">
      <c r="A203" s="132"/>
      <c r="B203" s="132" t="s">
        <v>1363</v>
      </c>
      <c r="C203" s="132">
        <v>8</v>
      </c>
      <c r="D203" s="159" t="s">
        <v>2106</v>
      </c>
      <c r="E203" s="133"/>
      <c r="F203" s="133"/>
      <c r="G203" s="133"/>
      <c r="H203" s="133"/>
      <c r="I203" s="133"/>
      <c r="J203" s="133"/>
      <c r="K203" s="133"/>
      <c r="L203" s="133" t="s">
        <v>1580</v>
      </c>
      <c r="M203" s="133"/>
      <c r="N203" s="133"/>
      <c r="O203" s="133"/>
      <c r="P203" s="134">
        <v>44909</v>
      </c>
      <c r="Q203" s="134">
        <v>44925</v>
      </c>
      <c r="R203" s="133"/>
      <c r="S203" s="135">
        <v>12</v>
      </c>
      <c r="T203" s="135">
        <v>0</v>
      </c>
      <c r="U203" s="135">
        <v>13</v>
      </c>
      <c r="V203" s="135">
        <v>0</v>
      </c>
      <c r="W203" s="134"/>
      <c r="X203" s="134"/>
      <c r="Y203" s="136">
        <v>0</v>
      </c>
      <c r="Z203" s="137">
        <v>0</v>
      </c>
      <c r="AA203" s="135"/>
      <c r="AB203" s="209" t="s">
        <v>1775</v>
      </c>
      <c r="AC203" s="220"/>
      <c r="AD203" s="158">
        <v>0</v>
      </c>
      <c r="AE203" s="192">
        <v>0</v>
      </c>
      <c r="AF203" s="162"/>
      <c r="AG203" s="163"/>
      <c r="AH203" s="163"/>
      <c r="AI203" s="163" t="str">
        <f>"                           " &amp; TEXT(AE203,"#0.00%") &amp; "/" &amp; TEXT(AD203,"#0.00% ") &amp; "" &amp; "발령" &amp; "(형소담)" &amp; " " &amp; IF(P203="","",TEXT(P203,"M/D-")) &amp; IF(Q203="","",TEXT(Q203,"M/D")) &amp; " "</f>
        <v xml:space="preserve">                           0.00%/0.00% 발령(형소담) 12/14-12/30 </v>
      </c>
      <c r="AJ203" s="163"/>
      <c r="AK203" s="163"/>
    </row>
    <row r="204" spans="1:37" ht="12" customHeight="1" outlineLevel="7">
      <c r="A204" s="132"/>
      <c r="B204" s="132"/>
      <c r="C204" s="132">
        <v>9</v>
      </c>
      <c r="D204" s="159" t="s">
        <v>2107</v>
      </c>
      <c r="E204" s="133"/>
      <c r="F204" s="133"/>
      <c r="G204" s="133"/>
      <c r="H204" s="133"/>
      <c r="I204" s="133"/>
      <c r="J204" s="133"/>
      <c r="K204" s="133"/>
      <c r="L204" s="133"/>
      <c r="M204" s="133" t="s">
        <v>1581</v>
      </c>
      <c r="N204" s="133"/>
      <c r="O204" s="133"/>
      <c r="P204" s="134">
        <v>44909</v>
      </c>
      <c r="Q204" s="134">
        <v>44910</v>
      </c>
      <c r="R204" s="133"/>
      <c r="S204" s="135">
        <v>2</v>
      </c>
      <c r="T204" s="135">
        <v>0</v>
      </c>
      <c r="U204" s="135">
        <v>2</v>
      </c>
      <c r="V204" s="135">
        <v>0</v>
      </c>
      <c r="W204" s="134"/>
      <c r="X204" s="134"/>
      <c r="Y204" s="136">
        <v>0</v>
      </c>
      <c r="Z204" s="137">
        <v>0</v>
      </c>
      <c r="AA204" s="135"/>
      <c r="AB204" s="209" t="s">
        <v>1775</v>
      </c>
      <c r="AC204" s="220"/>
      <c r="AD204" s="158">
        <v>0</v>
      </c>
      <c r="AE204" s="166">
        <v>0</v>
      </c>
      <c r="AF204" s="162"/>
      <c r="AG204" s="163"/>
      <c r="AH204" s="163"/>
      <c r="AI204" s="163" t="str">
        <f>"                           " &amp; TEXT(AE204,"#0.00%") &amp; "/" &amp; TEXT(AD204,"#0.00% ") &amp; "" &amp; "승진" &amp; "(형소담)" &amp; " " &amp; IF(P204="","",TEXT(P204,"M/D-")) &amp; IF(Q204="","",TEXT(Q204,"M/D")) &amp; " "</f>
        <v xml:space="preserve">                           0.00%/0.00% 승진(형소담) 12/14-12/15 </v>
      </c>
      <c r="AJ204" s="163"/>
      <c r="AK204" s="163"/>
    </row>
    <row r="205" spans="1:37" ht="12" customHeight="1" outlineLevel="7">
      <c r="A205" s="132"/>
      <c r="B205" s="132"/>
      <c r="C205" s="132">
        <v>9</v>
      </c>
      <c r="D205" s="159" t="s">
        <v>2108</v>
      </c>
      <c r="E205" s="133"/>
      <c r="F205" s="133"/>
      <c r="G205" s="133"/>
      <c r="H205" s="133"/>
      <c r="I205" s="133"/>
      <c r="J205" s="133"/>
      <c r="K205" s="133"/>
      <c r="L205" s="133"/>
      <c r="M205" s="133" t="s">
        <v>1582</v>
      </c>
      <c r="N205" s="133"/>
      <c r="O205" s="133"/>
      <c r="P205" s="134">
        <v>44911</v>
      </c>
      <c r="Q205" s="134">
        <v>44914</v>
      </c>
      <c r="R205" s="133"/>
      <c r="S205" s="135">
        <v>2</v>
      </c>
      <c r="T205" s="135">
        <v>0</v>
      </c>
      <c r="U205" s="135">
        <v>2</v>
      </c>
      <c r="V205" s="135">
        <v>0</v>
      </c>
      <c r="W205" s="134"/>
      <c r="X205" s="134"/>
      <c r="Y205" s="136">
        <v>0</v>
      </c>
      <c r="Z205" s="137">
        <v>0</v>
      </c>
      <c r="AA205" s="135"/>
      <c r="AB205" s="209" t="s">
        <v>1775</v>
      </c>
      <c r="AC205" s="220"/>
      <c r="AD205" s="158">
        <v>0</v>
      </c>
      <c r="AE205" s="166">
        <v>0</v>
      </c>
      <c r="AF205" s="162"/>
      <c r="AG205" s="163"/>
      <c r="AH205" s="163"/>
      <c r="AI205" s="163" t="str">
        <f>"                               " &amp; TEXT(AE205,"#0.00%") &amp; "/" &amp; TEXT(AD205,"#0.00% ") &amp; "" &amp; "직책" &amp; "(형소담)" &amp; " " &amp; IF(P205="","",TEXT(P205,"M/D-")) &amp; IF(Q205="","",TEXT(Q205,"M/D")) &amp; " "</f>
        <v xml:space="preserve">                               0.00%/0.00% 직책(형소담) 12/16-12/19 </v>
      </c>
      <c r="AJ205" s="163"/>
      <c r="AK205" s="163"/>
    </row>
    <row r="206" spans="1:37" ht="12" customHeight="1" outlineLevel="7">
      <c r="A206" s="132"/>
      <c r="B206" s="132"/>
      <c r="C206" s="132">
        <v>9</v>
      </c>
      <c r="D206" s="159" t="s">
        <v>2109</v>
      </c>
      <c r="E206" s="133"/>
      <c r="F206" s="133"/>
      <c r="G206" s="133"/>
      <c r="H206" s="133"/>
      <c r="I206" s="133"/>
      <c r="J206" s="133"/>
      <c r="K206" s="133"/>
      <c r="L206" s="133"/>
      <c r="M206" s="133" t="s">
        <v>1583</v>
      </c>
      <c r="N206" s="133"/>
      <c r="O206" s="133"/>
      <c r="P206" s="134">
        <v>44915</v>
      </c>
      <c r="Q206" s="134">
        <v>44916</v>
      </c>
      <c r="R206" s="133"/>
      <c r="S206" s="135">
        <v>2</v>
      </c>
      <c r="T206" s="135">
        <v>0</v>
      </c>
      <c r="U206" s="135">
        <v>2</v>
      </c>
      <c r="V206" s="135">
        <v>0</v>
      </c>
      <c r="W206" s="134"/>
      <c r="X206" s="134"/>
      <c r="Y206" s="136">
        <v>0</v>
      </c>
      <c r="Z206" s="137">
        <v>0</v>
      </c>
      <c r="AA206" s="135"/>
      <c r="AB206" s="209" t="s">
        <v>1775</v>
      </c>
      <c r="AC206" s="220"/>
      <c r="AD206" s="158">
        <v>0</v>
      </c>
      <c r="AE206" s="166">
        <v>0</v>
      </c>
      <c r="AF206" s="162"/>
      <c r="AG206" s="163"/>
      <c r="AH206" s="163"/>
      <c r="AI206" s="163" t="str">
        <f>"                                       " &amp; TEXT(AE206,"#0.00%") &amp; "/" &amp; TEXT(AD206,"#0.00% ") &amp; "" &amp; "부서이동" &amp; "(형소담)" &amp; " " &amp; IF(P206="","",TEXT(P206,"M/D-")) &amp; IF(Q206="","",TEXT(Q206,"M/D")) &amp; " "</f>
        <v xml:space="preserve">                                       0.00%/0.00% 부서이동(형소담) 12/20-12/21 </v>
      </c>
      <c r="AJ206" s="163"/>
      <c r="AK206" s="163"/>
    </row>
    <row r="207" spans="1:37" ht="12" customHeight="1" outlineLevel="7">
      <c r="A207" s="132"/>
      <c r="B207" s="132"/>
      <c r="C207" s="132">
        <v>9</v>
      </c>
      <c r="D207" s="159" t="s">
        <v>2110</v>
      </c>
      <c r="E207" s="133"/>
      <c r="F207" s="133"/>
      <c r="G207" s="133"/>
      <c r="H207" s="133"/>
      <c r="I207" s="133"/>
      <c r="J207" s="133"/>
      <c r="K207" s="133"/>
      <c r="L207" s="133"/>
      <c r="M207" s="133" t="s">
        <v>1584</v>
      </c>
      <c r="N207" s="133"/>
      <c r="O207" s="133"/>
      <c r="P207" s="134">
        <v>44917</v>
      </c>
      <c r="Q207" s="134">
        <v>44918</v>
      </c>
      <c r="R207" s="133"/>
      <c r="S207" s="135">
        <v>2</v>
      </c>
      <c r="T207" s="135">
        <v>0</v>
      </c>
      <c r="U207" s="135">
        <v>2</v>
      </c>
      <c r="V207" s="135">
        <v>0</v>
      </c>
      <c r="W207" s="134"/>
      <c r="X207" s="134"/>
      <c r="Y207" s="136">
        <v>0</v>
      </c>
      <c r="Z207" s="137">
        <v>0</v>
      </c>
      <c r="AA207" s="135"/>
      <c r="AB207" s="209" t="s">
        <v>1775</v>
      </c>
      <c r="AC207" s="220"/>
      <c r="AD207" s="158">
        <v>0</v>
      </c>
      <c r="AE207" s="166">
        <v>0</v>
      </c>
      <c r="AF207" s="162"/>
      <c r="AG207" s="163"/>
      <c r="AH207" s="163"/>
      <c r="AI207" s="163" t="str">
        <f>"                                           " &amp; TEXT(AE207,"#0.00%") &amp; "/" &amp; TEXT(AD207,"#0.00% ") &amp; "" &amp; "휴직" &amp; "(형소담)" &amp; " " &amp; IF(P207="","",TEXT(P207,"M/D-")) &amp; IF(Q207="","",TEXT(Q207,"M/D")) &amp; " "</f>
        <v xml:space="preserve">                                           0.00%/0.00% 휴직(형소담) 12/22-12/23 </v>
      </c>
      <c r="AJ207" s="163"/>
      <c r="AK207" s="163"/>
    </row>
    <row r="208" spans="1:37" ht="12" customHeight="1" outlineLevel="7">
      <c r="A208" s="132"/>
      <c r="B208" s="132"/>
      <c r="C208" s="132">
        <v>9</v>
      </c>
      <c r="D208" s="159" t="s">
        <v>2111</v>
      </c>
      <c r="E208" s="133"/>
      <c r="F208" s="133"/>
      <c r="G208" s="133"/>
      <c r="H208" s="133"/>
      <c r="I208" s="133"/>
      <c r="J208" s="133"/>
      <c r="K208" s="133"/>
      <c r="L208" s="133"/>
      <c r="M208" s="133" t="s">
        <v>1585</v>
      </c>
      <c r="N208" s="133"/>
      <c r="O208" s="133"/>
      <c r="P208" s="134">
        <v>44922</v>
      </c>
      <c r="Q208" s="134">
        <v>44923</v>
      </c>
      <c r="R208" s="133"/>
      <c r="S208" s="135">
        <v>2</v>
      </c>
      <c r="T208" s="135">
        <v>0</v>
      </c>
      <c r="U208" s="135">
        <v>2</v>
      </c>
      <c r="V208" s="135">
        <v>0</v>
      </c>
      <c r="W208" s="134"/>
      <c r="X208" s="134"/>
      <c r="Y208" s="136">
        <v>0</v>
      </c>
      <c r="Z208" s="137">
        <v>0</v>
      </c>
      <c r="AA208" s="135"/>
      <c r="AB208" s="209" t="s">
        <v>1775</v>
      </c>
      <c r="AC208" s="220"/>
      <c r="AD208" s="158">
        <v>0</v>
      </c>
      <c r="AE208" s="166">
        <v>0</v>
      </c>
      <c r="AF208" s="162"/>
      <c r="AG208" s="163"/>
      <c r="AH208" s="163"/>
      <c r="AI208" s="163" t="str">
        <f>"                                                      " &amp; TEXT(AE208,"#0.00%") &amp; "/" &amp; TEXT(AD208,"#0.00% ") &amp; "" &amp; "복직" &amp; "(형소담)" &amp; " " &amp; IF(P208="","",TEXT(P208,"M/D-")) &amp; IF(Q208="","",TEXT(Q208,"M/D")) &amp; " "</f>
        <v xml:space="preserve">                                                      0.00%/0.00% 복직(형소담) 12/27-12/28 </v>
      </c>
      <c r="AJ208" s="163"/>
      <c r="AK208" s="163"/>
    </row>
    <row r="209" spans="1:37" ht="12" customHeight="1" outlineLevel="7">
      <c r="A209" s="132"/>
      <c r="B209" s="132"/>
      <c r="C209" s="132">
        <v>9</v>
      </c>
      <c r="D209" s="159" t="s">
        <v>2112</v>
      </c>
      <c r="E209" s="133"/>
      <c r="F209" s="133"/>
      <c r="G209" s="133"/>
      <c r="H209" s="133"/>
      <c r="I209" s="133"/>
      <c r="J209" s="133"/>
      <c r="K209" s="133"/>
      <c r="L209" s="133"/>
      <c r="M209" s="133" t="s">
        <v>1586</v>
      </c>
      <c r="N209" s="133"/>
      <c r="O209" s="133"/>
      <c r="P209" s="134">
        <v>44924</v>
      </c>
      <c r="Q209" s="134">
        <v>44925</v>
      </c>
      <c r="R209" s="133"/>
      <c r="S209" s="135">
        <v>2</v>
      </c>
      <c r="T209" s="135">
        <v>0</v>
      </c>
      <c r="U209" s="135">
        <v>2</v>
      </c>
      <c r="V209" s="135">
        <v>0</v>
      </c>
      <c r="W209" s="134"/>
      <c r="X209" s="134"/>
      <c r="Y209" s="136">
        <v>0</v>
      </c>
      <c r="Z209" s="137">
        <v>0</v>
      </c>
      <c r="AA209" s="135"/>
      <c r="AB209" s="209" t="s">
        <v>1775</v>
      </c>
      <c r="AC209" s="220"/>
      <c r="AD209" s="158">
        <v>0</v>
      </c>
      <c r="AE209" s="166">
        <v>0</v>
      </c>
      <c r="AF209" s="162"/>
      <c r="AG209" s="163"/>
      <c r="AH209" s="163"/>
      <c r="AI209" s="163" t="str">
        <f>"                                                          " &amp; TEXT(AE209,"#0.00%") &amp; "/" &amp; TEXT(AD209,"#0.00% ") &amp; "" &amp; "퇴직" &amp; "(형소담)" &amp; " " &amp; IF(P209="","",TEXT(P209,"M/D-")) &amp; IF(Q209="","",TEXT(Q209,"M/D")) &amp; " "</f>
        <v xml:space="preserve">                                                          0.00%/0.00% 퇴직(형소담) 12/29-12/30 </v>
      </c>
      <c r="AJ209" s="163"/>
      <c r="AK209" s="163"/>
    </row>
    <row r="210" spans="1:37" ht="12" customHeight="1" outlineLevel="4">
      <c r="A210" s="132"/>
      <c r="B210" s="132" t="s">
        <v>1363</v>
      </c>
      <c r="C210" s="132">
        <v>5</v>
      </c>
      <c r="D210" s="159" t="s">
        <v>2113</v>
      </c>
      <c r="E210" s="133"/>
      <c r="F210" s="133"/>
      <c r="G210" s="133"/>
      <c r="H210" s="133"/>
      <c r="I210" s="133" t="s">
        <v>1587</v>
      </c>
      <c r="J210" s="133"/>
      <c r="K210" s="133"/>
      <c r="L210" s="133"/>
      <c r="M210" s="133"/>
      <c r="N210" s="133"/>
      <c r="O210" s="133"/>
      <c r="P210" s="134">
        <v>44874</v>
      </c>
      <c r="Q210" s="134">
        <v>44904</v>
      </c>
      <c r="R210" s="133"/>
      <c r="S210" s="135">
        <v>23</v>
      </c>
      <c r="T210" s="135">
        <v>0</v>
      </c>
      <c r="U210" s="135">
        <v>23</v>
      </c>
      <c r="V210" s="135">
        <v>0</v>
      </c>
      <c r="W210" s="134"/>
      <c r="X210" s="134"/>
      <c r="Y210" s="136">
        <v>0</v>
      </c>
      <c r="Z210" s="137">
        <v>0</v>
      </c>
      <c r="AA210" s="135"/>
      <c r="AB210" s="209" t="s">
        <v>1773</v>
      </c>
      <c r="AC210" s="220"/>
      <c r="AD210" s="158">
        <v>0</v>
      </c>
      <c r="AE210" s="192">
        <v>0</v>
      </c>
      <c r="AF210" s="162"/>
      <c r="AG210" s="163"/>
      <c r="AH210" s="163" t="str">
        <f>"                 " &amp; TEXT(AE210,"#0.00%") &amp; "/" &amp; TEXT(AD210,"#0.00% ") &amp; ""</f>
        <v xml:space="preserve">                 0.00%/0.00% </v>
      </c>
      <c r="AI210" s="163" t="str">
        <f>"                   " &amp; "평가" &amp; "(유아람)" &amp; " " &amp; IF(P210="","",TEXT(P210,"M/D-")) &amp; IF(Q210="","",TEXT(Q210,"M/D")) &amp; " "</f>
        <v xml:space="preserve">                   평가(유아람) 11/9-12/9 </v>
      </c>
      <c r="AJ210" s="163"/>
      <c r="AK210" s="163"/>
    </row>
    <row r="211" spans="1:37" ht="12" customHeight="1" outlineLevel="5">
      <c r="A211" s="132"/>
      <c r="B211" s="132"/>
      <c r="C211" s="132">
        <v>6</v>
      </c>
      <c r="D211" s="159" t="s">
        <v>2114</v>
      </c>
      <c r="E211" s="133"/>
      <c r="F211" s="133"/>
      <c r="G211" s="133"/>
      <c r="H211" s="133"/>
      <c r="I211" s="133"/>
      <c r="J211" s="133" t="s">
        <v>1562</v>
      </c>
      <c r="K211" s="133"/>
      <c r="L211" s="133"/>
      <c r="M211" s="133"/>
      <c r="N211" s="133"/>
      <c r="O211" s="133"/>
      <c r="P211" s="134">
        <v>44890</v>
      </c>
      <c r="Q211" s="134">
        <v>44890</v>
      </c>
      <c r="R211" s="133"/>
      <c r="S211" s="135">
        <v>1</v>
      </c>
      <c r="T211" s="135">
        <v>0</v>
      </c>
      <c r="U211" s="135">
        <v>1</v>
      </c>
      <c r="V211" s="135">
        <v>0</v>
      </c>
      <c r="W211" s="134"/>
      <c r="X211" s="134"/>
      <c r="Y211" s="136">
        <v>0</v>
      </c>
      <c r="Z211" s="137">
        <v>0</v>
      </c>
      <c r="AA211" s="135"/>
      <c r="AB211" s="209" t="s">
        <v>1773</v>
      </c>
      <c r="AC211" s="220"/>
      <c r="AD211" s="158">
        <v>0</v>
      </c>
      <c r="AE211" s="166">
        <v>0</v>
      </c>
      <c r="AF211" s="162"/>
      <c r="AG211" s="163"/>
      <c r="AH211" s="163" t="str">
        <f>"                                                   " &amp; TEXT(AE211,"#0.00%") &amp; "/" &amp; TEXT(AD211,"#0.00% ") &amp; "" &amp; "기본정보" &amp; "(유아람)" &amp; " " &amp; IF(P211="","",TEXT(P211,"M/D-")) &amp; IF(Q211="","",TEXT(Q211,"M/D")) &amp; " "</f>
        <v xml:space="preserve">                                                   0.00%/0.00% 기본정보(유아람) 11/25-11/25 </v>
      </c>
      <c r="AI211" s="163"/>
      <c r="AJ211" s="163"/>
      <c r="AK211" s="163"/>
    </row>
    <row r="212" spans="1:37" ht="12" customHeight="1" outlineLevel="5">
      <c r="A212" s="132"/>
      <c r="B212" s="132" t="s">
        <v>1363</v>
      </c>
      <c r="C212" s="132">
        <v>6</v>
      </c>
      <c r="D212" s="159" t="s">
        <v>2115</v>
      </c>
      <c r="E212" s="133"/>
      <c r="F212" s="133"/>
      <c r="G212" s="133"/>
      <c r="H212" s="133"/>
      <c r="I212" s="133"/>
      <c r="J212" s="133" t="s">
        <v>1563</v>
      </c>
      <c r="K212" s="133"/>
      <c r="L212" s="133"/>
      <c r="M212" s="133"/>
      <c r="N212" s="133"/>
      <c r="O212" s="133"/>
      <c r="P212" s="134">
        <v>44893</v>
      </c>
      <c r="Q212" s="134">
        <v>44895</v>
      </c>
      <c r="R212" s="133"/>
      <c r="S212" s="135">
        <v>3</v>
      </c>
      <c r="T212" s="135">
        <v>0</v>
      </c>
      <c r="U212" s="135">
        <v>3</v>
      </c>
      <c r="V212" s="135">
        <v>0</v>
      </c>
      <c r="W212" s="134"/>
      <c r="X212" s="134"/>
      <c r="Y212" s="136">
        <v>0</v>
      </c>
      <c r="Z212" s="137">
        <v>0</v>
      </c>
      <c r="AA212" s="135"/>
      <c r="AB212" s="209" t="s">
        <v>1773</v>
      </c>
      <c r="AC212" s="220"/>
      <c r="AD212" s="158">
        <v>0</v>
      </c>
      <c r="AE212" s="192">
        <v>0</v>
      </c>
      <c r="AF212" s="162"/>
      <c r="AG212" s="163"/>
      <c r="AH212" s="163" t="str">
        <f>"                                                          " &amp; TEXT(AE212,"#0.00%") &amp; "/" &amp; TEXT(AD212,"#0.00% ") &amp; "" &amp; "상세정보" &amp; "(유아람)" &amp; " " &amp; IF(P212="","",TEXT(P212,"M/D-")) &amp; IF(Q212="","",TEXT(Q212,"M/D")) &amp; " "</f>
        <v xml:space="preserve">                                                          0.00%/0.00% 상세정보(유아람) 11/28-11/30 </v>
      </c>
      <c r="AI212" s="163"/>
      <c r="AJ212" s="163"/>
      <c r="AK212" s="163"/>
    </row>
    <row r="213" spans="1:37" ht="12" customHeight="1" outlineLevel="6">
      <c r="A213" s="132"/>
      <c r="B213" s="132"/>
      <c r="C213" s="132">
        <v>7</v>
      </c>
      <c r="D213" s="159" t="s">
        <v>2116</v>
      </c>
      <c r="E213" s="133"/>
      <c r="F213" s="133"/>
      <c r="G213" s="133"/>
      <c r="H213" s="133"/>
      <c r="I213" s="133"/>
      <c r="J213" s="133"/>
      <c r="K213" s="133" t="s">
        <v>1588</v>
      </c>
      <c r="L213" s="133"/>
      <c r="M213" s="133"/>
      <c r="N213" s="133"/>
      <c r="O213" s="133"/>
      <c r="P213" s="134">
        <v>44893</v>
      </c>
      <c r="Q213" s="134">
        <v>44895</v>
      </c>
      <c r="R213" s="133"/>
      <c r="S213" s="135">
        <v>3</v>
      </c>
      <c r="T213" s="135">
        <v>0</v>
      </c>
      <c r="U213" s="135">
        <v>3</v>
      </c>
      <c r="V213" s="135">
        <v>0</v>
      </c>
      <c r="W213" s="134"/>
      <c r="X213" s="134"/>
      <c r="Y213" s="136">
        <v>0</v>
      </c>
      <c r="Z213" s="137">
        <v>0</v>
      </c>
      <c r="AA213" s="135"/>
      <c r="AB213" s="209" t="s">
        <v>1773</v>
      </c>
      <c r="AC213" s="220"/>
      <c r="AD213" s="158">
        <v>0</v>
      </c>
      <c r="AE213" s="166">
        <v>0</v>
      </c>
      <c r="AF213" s="162"/>
      <c r="AG213" s="163"/>
      <c r="AH213" s="163" t="str">
        <f>"                                                          " &amp; TEXT(AE213,"#0.00%") &amp; "/" &amp; TEXT(AD213,"#0.00% ") &amp; "" &amp; "평가이력" &amp; "(유아람)" &amp; " " &amp; IF(P213="","",TEXT(P213,"M/D-")) &amp; IF(Q213="","",TEXT(Q213,"M/D")) &amp; " "</f>
        <v xml:space="preserve">                                                          0.00%/0.00% 평가이력(유아람) 11/28-11/30 </v>
      </c>
      <c r="AI213" s="163"/>
      <c r="AJ213" s="163"/>
      <c r="AK213" s="163"/>
    </row>
    <row r="214" spans="1:37" ht="12" customHeight="1" outlineLevel="5">
      <c r="A214" s="132"/>
      <c r="B214" s="132"/>
      <c r="C214" s="132">
        <v>6</v>
      </c>
      <c r="D214" s="159" t="s">
        <v>2117</v>
      </c>
      <c r="E214" s="133"/>
      <c r="F214" s="133"/>
      <c r="G214" s="133"/>
      <c r="H214" s="133"/>
      <c r="I214" s="133"/>
      <c r="J214" s="133" t="s">
        <v>1589</v>
      </c>
      <c r="K214" s="133"/>
      <c r="L214" s="133"/>
      <c r="M214" s="133"/>
      <c r="N214" s="133"/>
      <c r="O214" s="133"/>
      <c r="P214" s="134">
        <v>44896</v>
      </c>
      <c r="Q214" s="134">
        <v>44902</v>
      </c>
      <c r="R214" s="133"/>
      <c r="S214" s="135">
        <v>5</v>
      </c>
      <c r="T214" s="135">
        <v>0</v>
      </c>
      <c r="U214" s="135">
        <v>5</v>
      </c>
      <c r="V214" s="135">
        <v>0</v>
      </c>
      <c r="W214" s="134"/>
      <c r="X214" s="134"/>
      <c r="Y214" s="136">
        <v>0</v>
      </c>
      <c r="Z214" s="137">
        <v>0</v>
      </c>
      <c r="AA214" s="135"/>
      <c r="AB214" s="209" t="s">
        <v>1773</v>
      </c>
      <c r="AC214" s="220"/>
      <c r="AD214" s="158">
        <v>0</v>
      </c>
      <c r="AE214" s="166">
        <v>0</v>
      </c>
      <c r="AF214" s="162"/>
      <c r="AG214" s="163"/>
      <c r="AH214" s="163"/>
      <c r="AI214" s="163" t="str">
        <f>"" &amp; TEXT(AE214,"#0.00%") &amp; "/" &amp; TEXT(AD214,"#0.00% ") &amp; "" &amp; "일괄등록" &amp; "(유아람)" &amp; " " &amp; IF(P214="","",TEXT(P214,"M/D-")) &amp; IF(Q214="","",TEXT(Q214,"M/D")) &amp; " "</f>
        <v xml:space="preserve">0.00%/0.00% 일괄등록(유아람) 12/1-12/7 </v>
      </c>
      <c r="AJ214" s="163"/>
      <c r="AK214" s="163"/>
    </row>
    <row r="215" spans="1:37" ht="12" customHeight="1" outlineLevel="5">
      <c r="A215" s="132"/>
      <c r="B215" s="132"/>
      <c r="C215" s="132">
        <v>6</v>
      </c>
      <c r="D215" s="159" t="s">
        <v>2118</v>
      </c>
      <c r="E215" s="133"/>
      <c r="F215" s="133"/>
      <c r="G215" s="133"/>
      <c r="H215" s="133"/>
      <c r="I215" s="133"/>
      <c r="J215" s="133" t="s">
        <v>1590</v>
      </c>
      <c r="K215" s="133"/>
      <c r="L215" s="133"/>
      <c r="M215" s="133"/>
      <c r="N215" s="133"/>
      <c r="O215" s="133"/>
      <c r="P215" s="134">
        <v>44903</v>
      </c>
      <c r="Q215" s="134">
        <v>44904</v>
      </c>
      <c r="R215" s="133"/>
      <c r="S215" s="135">
        <v>2</v>
      </c>
      <c r="T215" s="135">
        <v>0</v>
      </c>
      <c r="U215" s="135">
        <v>2</v>
      </c>
      <c r="V215" s="135">
        <v>0</v>
      </c>
      <c r="W215" s="134"/>
      <c r="X215" s="134"/>
      <c r="Y215" s="136">
        <v>0</v>
      </c>
      <c r="Z215" s="137">
        <v>0</v>
      </c>
      <c r="AA215" s="135"/>
      <c r="AB215" s="209" t="s">
        <v>1773</v>
      </c>
      <c r="AC215" s="220"/>
      <c r="AD215" s="158">
        <v>0</v>
      </c>
      <c r="AE215" s="166">
        <v>0</v>
      </c>
      <c r="AF215" s="162"/>
      <c r="AG215" s="163"/>
      <c r="AH215" s="163"/>
      <c r="AI215" s="163" t="str">
        <f>"              " &amp; TEXT(AE215,"#0.00%") &amp; "/" &amp; TEXT(AD215,"#0.00% ") &amp; "" &amp; "발령취소" &amp; "(유아람)" &amp; " " &amp; IF(P215="","",TEXT(P215,"M/D-")) &amp; IF(Q215="","",TEXT(Q215,"M/D")) &amp; " "</f>
        <v xml:space="preserve">              0.00%/0.00% 발령취소(유아람) 12/8-12/9 </v>
      </c>
      <c r="AJ215" s="163"/>
      <c r="AK215" s="163"/>
    </row>
    <row r="216" spans="1:37" ht="12" customHeight="1" outlineLevel="5">
      <c r="A216" s="132"/>
      <c r="B216" s="132" t="s">
        <v>1363</v>
      </c>
      <c r="C216" s="132">
        <v>6</v>
      </c>
      <c r="D216" s="159" t="s">
        <v>2119</v>
      </c>
      <c r="E216" s="133"/>
      <c r="F216" s="133"/>
      <c r="G216" s="133"/>
      <c r="H216" s="133"/>
      <c r="I216" s="133"/>
      <c r="J216" s="133" t="s">
        <v>1591</v>
      </c>
      <c r="K216" s="133"/>
      <c r="L216" s="133"/>
      <c r="M216" s="133"/>
      <c r="N216" s="133"/>
      <c r="O216" s="133"/>
      <c r="P216" s="134">
        <v>44874</v>
      </c>
      <c r="Q216" s="134">
        <v>44889</v>
      </c>
      <c r="R216" s="133"/>
      <c r="S216" s="135">
        <v>12</v>
      </c>
      <c r="T216" s="135">
        <v>0</v>
      </c>
      <c r="U216" s="135">
        <v>12</v>
      </c>
      <c r="V216" s="135">
        <v>0</v>
      </c>
      <c r="W216" s="134"/>
      <c r="X216" s="134"/>
      <c r="Y216" s="136">
        <v>0</v>
      </c>
      <c r="Z216" s="137">
        <v>0</v>
      </c>
      <c r="AA216" s="135"/>
      <c r="AB216" s="209" t="s">
        <v>1773</v>
      </c>
      <c r="AC216" s="220"/>
      <c r="AD216" s="158">
        <v>0</v>
      </c>
      <c r="AE216" s="192">
        <v>0</v>
      </c>
      <c r="AF216" s="162"/>
      <c r="AG216" s="163"/>
      <c r="AH216" s="163" t="str">
        <f>"                 " &amp; TEXT(AE216,"#0.00%") &amp; "/" &amp; TEXT(AD216,"#0.00% ") &amp; "" &amp; "역량관리" &amp; "(유아람)" &amp; " " &amp; IF(P216="","",TEXT(P216,"M/D-")) &amp; IF(Q216="","",TEXT(Q216,"M/D")) &amp; " "</f>
        <v xml:space="preserve">                 0.00%/0.00% 역량관리(유아람) 11/9-11/24 </v>
      </c>
      <c r="AI216" s="163"/>
      <c r="AJ216" s="163"/>
      <c r="AK216" s="163"/>
    </row>
    <row r="217" spans="1:37" ht="12" customHeight="1" outlineLevel="6">
      <c r="A217" s="132"/>
      <c r="B217" s="132"/>
      <c r="C217" s="132">
        <v>7</v>
      </c>
      <c r="D217" s="159" t="s">
        <v>2120</v>
      </c>
      <c r="E217" s="133"/>
      <c r="F217" s="133"/>
      <c r="G217" s="133"/>
      <c r="H217" s="133"/>
      <c r="I217" s="133"/>
      <c r="J217" s="133"/>
      <c r="K217" s="133" t="s">
        <v>1562</v>
      </c>
      <c r="L217" s="133"/>
      <c r="M217" s="133"/>
      <c r="N217" s="133"/>
      <c r="O217" s="133"/>
      <c r="P217" s="134">
        <v>44874</v>
      </c>
      <c r="Q217" s="134">
        <v>44876</v>
      </c>
      <c r="R217" s="133"/>
      <c r="S217" s="135">
        <v>3</v>
      </c>
      <c r="T217" s="135">
        <v>0</v>
      </c>
      <c r="U217" s="135">
        <v>3</v>
      </c>
      <c r="V217" s="135">
        <v>0</v>
      </c>
      <c r="W217" s="134"/>
      <c r="X217" s="134"/>
      <c r="Y217" s="136">
        <v>0</v>
      </c>
      <c r="Z217" s="137">
        <v>0</v>
      </c>
      <c r="AA217" s="135"/>
      <c r="AB217" s="209" t="s">
        <v>1773</v>
      </c>
      <c r="AC217" s="220"/>
      <c r="AD217" s="158">
        <v>0</v>
      </c>
      <c r="AE217" s="166">
        <v>0</v>
      </c>
      <c r="AF217" s="162"/>
      <c r="AG217" s="163"/>
      <c r="AH217" s="163" t="str">
        <f>"                 " &amp; TEXT(AE217,"#0.00%") &amp; "/" &amp; TEXT(AD217,"#0.00% ") &amp; "" &amp; "기본정보" &amp; "(유아람)" &amp; " " &amp; IF(P217="","",TEXT(P217,"M/D-")) &amp; IF(Q217="","",TEXT(Q217,"M/D")) &amp; " "</f>
        <v xml:space="preserve">                 0.00%/0.00% 기본정보(유아람) 11/9-11/11 </v>
      </c>
      <c r="AI217" s="163"/>
      <c r="AJ217" s="163"/>
      <c r="AK217" s="163"/>
    </row>
    <row r="218" spans="1:37" ht="12" customHeight="1" outlineLevel="6">
      <c r="A218" s="132"/>
      <c r="B218" s="132" t="s">
        <v>1363</v>
      </c>
      <c r="C218" s="132">
        <v>7</v>
      </c>
      <c r="D218" s="159" t="s">
        <v>2121</v>
      </c>
      <c r="E218" s="133"/>
      <c r="F218" s="133"/>
      <c r="G218" s="133"/>
      <c r="H218" s="133"/>
      <c r="I218" s="133"/>
      <c r="J218" s="133"/>
      <c r="K218" s="133" t="s">
        <v>1563</v>
      </c>
      <c r="L218" s="133"/>
      <c r="M218" s="133"/>
      <c r="N218" s="133"/>
      <c r="O218" s="133"/>
      <c r="P218" s="134">
        <v>44879</v>
      </c>
      <c r="Q218" s="134">
        <v>44889</v>
      </c>
      <c r="R218" s="133"/>
      <c r="S218" s="135">
        <v>9</v>
      </c>
      <c r="T218" s="135">
        <v>0</v>
      </c>
      <c r="U218" s="135">
        <v>9</v>
      </c>
      <c r="V218" s="135">
        <v>0</v>
      </c>
      <c r="W218" s="134"/>
      <c r="X218" s="134"/>
      <c r="Y218" s="136">
        <v>0</v>
      </c>
      <c r="Z218" s="137">
        <v>0</v>
      </c>
      <c r="AA218" s="135"/>
      <c r="AB218" s="209" t="s">
        <v>1773</v>
      </c>
      <c r="AC218" s="220"/>
      <c r="AD218" s="158">
        <v>0</v>
      </c>
      <c r="AE218" s="192">
        <v>0</v>
      </c>
      <c r="AF218" s="162"/>
      <c r="AG218" s="163"/>
      <c r="AH218" s="163" t="str">
        <f>"                            " &amp; TEXT(AE218,"#0.00%") &amp; "/" &amp; TEXT(AD218,"#0.00% ") &amp; "" &amp; "상세정보" &amp; "(유아람)" &amp; " " &amp; IF(P218="","",TEXT(P218,"M/D-")) &amp; IF(Q218="","",TEXT(Q218,"M/D")) &amp; " "</f>
        <v xml:space="preserve">                            0.00%/0.00% 상세정보(유아람) 11/14-11/24 </v>
      </c>
      <c r="AI218" s="163"/>
      <c r="AJ218" s="163"/>
      <c r="AK218" s="163"/>
    </row>
    <row r="219" spans="1:37" ht="12" customHeight="1" outlineLevel="7">
      <c r="A219" s="132"/>
      <c r="B219" s="132"/>
      <c r="C219" s="132">
        <v>8</v>
      </c>
      <c r="D219" s="159" t="s">
        <v>2122</v>
      </c>
      <c r="E219" s="133"/>
      <c r="F219" s="133"/>
      <c r="G219" s="133"/>
      <c r="H219" s="133"/>
      <c r="I219" s="133"/>
      <c r="J219" s="133"/>
      <c r="K219" s="133"/>
      <c r="L219" s="133" t="s">
        <v>1512</v>
      </c>
      <c r="M219" s="133"/>
      <c r="N219" s="133"/>
      <c r="O219" s="133"/>
      <c r="P219" s="134">
        <v>44879</v>
      </c>
      <c r="Q219" s="134">
        <v>44880</v>
      </c>
      <c r="R219" s="133"/>
      <c r="S219" s="135">
        <v>2</v>
      </c>
      <c r="T219" s="135">
        <v>0</v>
      </c>
      <c r="U219" s="135">
        <v>2</v>
      </c>
      <c r="V219" s="135">
        <v>0</v>
      </c>
      <c r="W219" s="134"/>
      <c r="X219" s="134"/>
      <c r="Y219" s="136">
        <v>0</v>
      </c>
      <c r="Z219" s="137">
        <v>0</v>
      </c>
      <c r="AA219" s="135"/>
      <c r="AB219" s="209" t="s">
        <v>1773</v>
      </c>
      <c r="AC219" s="220"/>
      <c r="AD219" s="158">
        <v>0</v>
      </c>
      <c r="AE219" s="166">
        <v>0</v>
      </c>
      <c r="AF219" s="162"/>
      <c r="AG219" s="163"/>
      <c r="AH219" s="163" t="str">
        <f>"                            " &amp; TEXT(AE219,"#0.00%") &amp; "/" &amp; TEXT(AD219,"#0.00% ") &amp; "" &amp; "프로젝트" &amp; "(유아람)" &amp; " " &amp; IF(P219="","",TEXT(P219,"M/D-")) &amp; IF(Q219="","",TEXT(Q219,"M/D")) &amp; " "</f>
        <v xml:space="preserve">                            0.00%/0.00% 프로젝트(유아람) 11/14-11/15 </v>
      </c>
      <c r="AI219" s="163"/>
      <c r="AJ219" s="163"/>
      <c r="AK219" s="163"/>
    </row>
    <row r="220" spans="1:37" ht="12" customHeight="1" outlineLevel="7">
      <c r="A220" s="132"/>
      <c r="B220" s="132"/>
      <c r="C220" s="132">
        <v>8</v>
      </c>
      <c r="D220" s="159" t="s">
        <v>2123</v>
      </c>
      <c r="E220" s="133"/>
      <c r="F220" s="133"/>
      <c r="G220" s="133"/>
      <c r="H220" s="133"/>
      <c r="I220" s="133"/>
      <c r="J220" s="133"/>
      <c r="K220" s="133"/>
      <c r="L220" s="133" t="s">
        <v>1592</v>
      </c>
      <c r="M220" s="133"/>
      <c r="N220" s="133"/>
      <c r="O220" s="133"/>
      <c r="P220" s="134">
        <v>44881</v>
      </c>
      <c r="Q220" s="134">
        <v>44882</v>
      </c>
      <c r="R220" s="133"/>
      <c r="S220" s="135">
        <v>2</v>
      </c>
      <c r="T220" s="135">
        <v>0</v>
      </c>
      <c r="U220" s="135">
        <v>2</v>
      </c>
      <c r="V220" s="135">
        <v>0</v>
      </c>
      <c r="W220" s="134"/>
      <c r="X220" s="134"/>
      <c r="Y220" s="136">
        <v>0</v>
      </c>
      <c r="Z220" s="137">
        <v>0</v>
      </c>
      <c r="AA220" s="135"/>
      <c r="AB220" s="209" t="s">
        <v>1773</v>
      </c>
      <c r="AC220" s="220"/>
      <c r="AD220" s="158">
        <v>0</v>
      </c>
      <c r="AE220" s="166">
        <v>0</v>
      </c>
      <c r="AF220" s="162"/>
      <c r="AG220" s="163"/>
      <c r="AH220" s="163" t="str">
        <f>"                                " &amp; TEXT(AE220,"#0.00%") &amp; "/" &amp; TEXT(AD220,"#0.00% ") &amp; "" &amp; "업무역량" &amp; "(유아람)" &amp; " " &amp; IF(P220="","",TEXT(P220,"M/D-")) &amp; IF(Q220="","",TEXT(Q220,"M/D")) &amp; " "</f>
        <v xml:space="preserve">                                0.00%/0.00% 업무역량(유아람) 11/16-11/17 </v>
      </c>
      <c r="AI220" s="163"/>
      <c r="AJ220" s="163"/>
      <c r="AK220" s="163"/>
    </row>
    <row r="221" spans="1:37" ht="12" customHeight="1" outlineLevel="7">
      <c r="A221" s="132"/>
      <c r="B221" s="132"/>
      <c r="C221" s="132">
        <v>8</v>
      </c>
      <c r="D221" s="159" t="s">
        <v>2124</v>
      </c>
      <c r="E221" s="133"/>
      <c r="F221" s="133"/>
      <c r="G221" s="133"/>
      <c r="H221" s="133"/>
      <c r="I221" s="133"/>
      <c r="J221" s="133"/>
      <c r="K221" s="133"/>
      <c r="L221" s="133" t="s">
        <v>1593</v>
      </c>
      <c r="M221" s="133"/>
      <c r="N221" s="133"/>
      <c r="O221" s="133"/>
      <c r="P221" s="134">
        <v>44883</v>
      </c>
      <c r="Q221" s="134">
        <v>44887</v>
      </c>
      <c r="R221" s="133"/>
      <c r="S221" s="135">
        <v>3</v>
      </c>
      <c r="T221" s="135">
        <v>0</v>
      </c>
      <c r="U221" s="135">
        <v>3</v>
      </c>
      <c r="V221" s="135">
        <v>0</v>
      </c>
      <c r="W221" s="134"/>
      <c r="X221" s="134"/>
      <c r="Y221" s="136">
        <v>0</v>
      </c>
      <c r="Z221" s="137">
        <v>0</v>
      </c>
      <c r="AA221" s="135"/>
      <c r="AB221" s="209" t="s">
        <v>1773</v>
      </c>
      <c r="AC221" s="220"/>
      <c r="AD221" s="158">
        <v>0</v>
      </c>
      <c r="AE221" s="166">
        <v>0</v>
      </c>
      <c r="AF221" s="162"/>
      <c r="AG221" s="163"/>
      <c r="AH221" s="163" t="str">
        <f>"                                    " &amp; TEXT(AE221,"#0.00%") &amp; "/" &amp; TEXT(AD221,"#0.00% ") &amp; "" &amp; "도메인역량" &amp; "(유아람)" &amp; " " &amp; IF(P221="","",TEXT(P221,"M/D-")) &amp; IF(Q221="","",TEXT(Q221,"M/D")) &amp; " "</f>
        <v xml:space="preserve">                                    0.00%/0.00% 도메인역량(유아람) 11/18-11/22 </v>
      </c>
      <c r="AI221" s="163"/>
      <c r="AJ221" s="163"/>
      <c r="AK221" s="163"/>
    </row>
    <row r="222" spans="1:37" ht="12" customHeight="1" outlineLevel="7">
      <c r="A222" s="132"/>
      <c r="B222" s="132"/>
      <c r="C222" s="132">
        <v>8</v>
      </c>
      <c r="D222" s="159" t="s">
        <v>2125</v>
      </c>
      <c r="E222" s="133"/>
      <c r="F222" s="133"/>
      <c r="G222" s="133"/>
      <c r="H222" s="133"/>
      <c r="I222" s="133"/>
      <c r="J222" s="133"/>
      <c r="K222" s="133"/>
      <c r="L222" s="133" t="s">
        <v>1594</v>
      </c>
      <c r="M222" s="133"/>
      <c r="N222" s="133"/>
      <c r="O222" s="133"/>
      <c r="P222" s="134">
        <v>44888</v>
      </c>
      <c r="Q222" s="134">
        <v>44889</v>
      </c>
      <c r="R222" s="133"/>
      <c r="S222" s="135">
        <v>2</v>
      </c>
      <c r="T222" s="135">
        <v>0</v>
      </c>
      <c r="U222" s="135">
        <v>2</v>
      </c>
      <c r="V222" s="135">
        <v>0</v>
      </c>
      <c r="W222" s="134"/>
      <c r="X222" s="134"/>
      <c r="Y222" s="136">
        <v>0</v>
      </c>
      <c r="Z222" s="137">
        <v>0</v>
      </c>
      <c r="AA222" s="135"/>
      <c r="AB222" s="209" t="s">
        <v>1773</v>
      </c>
      <c r="AC222" s="220"/>
      <c r="AD222" s="158">
        <v>0</v>
      </c>
      <c r="AE222" s="166">
        <v>0</v>
      </c>
      <c r="AF222" s="162"/>
      <c r="AG222" s="163"/>
      <c r="AH222" s="163" t="str">
        <f>"                                               " &amp; TEXT(AE222,"#0.00%") &amp; "/" &amp; TEXT(AD222,"#0.00% ") &amp; "" &amp; "면담이력" &amp; "(유아람)" &amp; " " &amp; IF(P222="","",TEXT(P222,"M/D-")) &amp; IF(Q222="","",TEXT(Q222,"M/D")) &amp; " "</f>
        <v xml:space="preserve">                                               0.00%/0.00% 면담이력(유아람) 11/23-11/24 </v>
      </c>
      <c r="AI222" s="163"/>
      <c r="AJ222" s="163"/>
      <c r="AK222" s="163"/>
    </row>
    <row r="223" spans="1:37" ht="12" customHeight="1" outlineLevel="4">
      <c r="A223" s="132"/>
      <c r="B223" s="132" t="s">
        <v>1363</v>
      </c>
      <c r="C223" s="132">
        <v>5</v>
      </c>
      <c r="D223" s="159" t="s">
        <v>2126</v>
      </c>
      <c r="E223" s="133"/>
      <c r="F223" s="133"/>
      <c r="G223" s="133"/>
      <c r="H223" s="133"/>
      <c r="I223" s="133" t="s">
        <v>1511</v>
      </c>
      <c r="J223" s="133"/>
      <c r="K223" s="133"/>
      <c r="L223" s="133"/>
      <c r="M223" s="133"/>
      <c r="N223" s="133"/>
      <c r="O223" s="133"/>
      <c r="P223" s="134">
        <v>44840</v>
      </c>
      <c r="Q223" s="134">
        <v>44876</v>
      </c>
      <c r="R223" s="133"/>
      <c r="S223" s="135">
        <v>26</v>
      </c>
      <c r="T223" s="135">
        <v>22</v>
      </c>
      <c r="U223" s="135">
        <v>26</v>
      </c>
      <c r="V223" s="135">
        <v>22</v>
      </c>
      <c r="W223" s="134">
        <v>44840</v>
      </c>
      <c r="X223" s="134"/>
      <c r="Y223" s="136">
        <v>20</v>
      </c>
      <c r="Z223" s="137">
        <v>0</v>
      </c>
      <c r="AA223" s="135"/>
      <c r="AB223" s="209" t="s">
        <v>1776</v>
      </c>
      <c r="AC223" s="220"/>
      <c r="AD223" s="158">
        <v>0.84615384615384615</v>
      </c>
      <c r="AE223" s="165">
        <v>0.76923076923076927</v>
      </c>
      <c r="AF223" s="162"/>
      <c r="AG223" s="163"/>
      <c r="AH223" s="163" t="str">
        <f>"    " &amp; TEXT(AE223,"#0.00%") &amp; "/" &amp; TEXT(AD223,"#0.00% ") &amp; "" &amp; "조직" &amp; "(남상범)" &amp; " " &amp; IF(P223="","",TEXT(P223,"M/D-")) &amp; IF(Q223="","",TEXT(Q223,"M/D")) &amp; " "</f>
        <v xml:space="preserve">    76.92%/84.62% 조직(남상범) 10/6-11/11 </v>
      </c>
      <c r="AI223" s="163"/>
      <c r="AJ223" s="163"/>
      <c r="AK223" s="163"/>
    </row>
    <row r="224" spans="1:37" ht="12" customHeight="1" outlineLevel="5">
      <c r="A224" s="132"/>
      <c r="B224" s="132" t="s">
        <v>1363</v>
      </c>
      <c r="C224" s="132">
        <v>6</v>
      </c>
      <c r="D224" s="159" t="s">
        <v>2127</v>
      </c>
      <c r="E224" s="133"/>
      <c r="F224" s="133"/>
      <c r="G224" s="133"/>
      <c r="H224" s="133"/>
      <c r="I224" s="133"/>
      <c r="J224" s="133" t="s">
        <v>1595</v>
      </c>
      <c r="K224" s="133"/>
      <c r="L224" s="133"/>
      <c r="M224" s="133"/>
      <c r="N224" s="133"/>
      <c r="O224" s="133"/>
      <c r="P224" s="134">
        <v>44840</v>
      </c>
      <c r="Q224" s="134">
        <v>44869</v>
      </c>
      <c r="R224" s="133"/>
      <c r="S224" s="135">
        <v>21</v>
      </c>
      <c r="T224" s="135">
        <v>21</v>
      </c>
      <c r="U224" s="135">
        <v>21</v>
      </c>
      <c r="V224" s="135">
        <v>21</v>
      </c>
      <c r="W224" s="134">
        <v>44840</v>
      </c>
      <c r="X224" s="134"/>
      <c r="Y224" s="136">
        <v>20</v>
      </c>
      <c r="Z224" s="137">
        <v>0</v>
      </c>
      <c r="AA224" s="135"/>
      <c r="AB224" s="209" t="s">
        <v>1776</v>
      </c>
      <c r="AC224" s="220"/>
      <c r="AD224" s="158">
        <v>1</v>
      </c>
      <c r="AE224" s="165">
        <v>0.95238095238095233</v>
      </c>
      <c r="AF224" s="162"/>
      <c r="AG224" s="163"/>
      <c r="AH224" s="163" t="str">
        <f>"      " &amp; TEXT(AE224,"#0.00%") &amp; "/" &amp; TEXT(AD224,"#0.00% ") &amp; "" &amp; "조직관리" &amp; "(남상범)" &amp; " " &amp; IF(P224="","",TEXT(P224,"M/D-")) &amp; IF(Q224="","",TEXT(Q224,"M/D")) &amp; " "</f>
        <v xml:space="preserve">      95.24%/100.00% 조직관리(남상범) 10/6-11/4 </v>
      </c>
      <c r="AI224" s="163"/>
      <c r="AJ224" s="163"/>
      <c r="AK224" s="163"/>
    </row>
    <row r="225" spans="1:37" ht="12" customHeight="1" outlineLevel="6">
      <c r="A225" s="132"/>
      <c r="B225" s="132"/>
      <c r="C225" s="132">
        <v>7</v>
      </c>
      <c r="D225" s="159" t="s">
        <v>2128</v>
      </c>
      <c r="E225" s="133"/>
      <c r="F225" s="133"/>
      <c r="G225" s="133"/>
      <c r="H225" s="133"/>
      <c r="I225" s="133"/>
      <c r="J225" s="133"/>
      <c r="K225" s="133" t="s">
        <v>1596</v>
      </c>
      <c r="L225" s="133"/>
      <c r="M225" s="133"/>
      <c r="N225" s="133"/>
      <c r="O225" s="133"/>
      <c r="P225" s="134">
        <v>44840</v>
      </c>
      <c r="Q225" s="134">
        <v>44854</v>
      </c>
      <c r="R225" s="133"/>
      <c r="S225" s="135">
        <v>10</v>
      </c>
      <c r="T225" s="135">
        <v>10</v>
      </c>
      <c r="U225" s="135">
        <v>10</v>
      </c>
      <c r="V225" s="135">
        <v>10</v>
      </c>
      <c r="W225" s="134">
        <v>44840</v>
      </c>
      <c r="X225" s="134">
        <v>44854</v>
      </c>
      <c r="Y225" s="136">
        <v>10</v>
      </c>
      <c r="Z225" s="137">
        <v>10</v>
      </c>
      <c r="AA225" s="135"/>
      <c r="AB225" s="209" t="s">
        <v>1776</v>
      </c>
      <c r="AC225" s="220"/>
      <c r="AD225" s="158">
        <v>1</v>
      </c>
      <c r="AE225" s="166">
        <v>1</v>
      </c>
      <c r="AF225" s="162"/>
      <c r="AG225" s="163" t="str">
        <f>"                                         " &amp; TEXT(AE225,"#0.00%") &amp; "/" &amp; TEXT(AD225,"#0.00% ") &amp; "" &amp; "부서 Tree" &amp; "(남상범)" &amp; " " &amp; IF(P225="","",TEXT(P225,"M/D-")) &amp; IF(Q225="","",TEXT(Q225,"M/D")) &amp; " "</f>
        <v xml:space="preserve">                                         100.00%/100.00% 부서 Tree(남상범) 10/6-10/20 </v>
      </c>
      <c r="AH225" s="163"/>
      <c r="AI225" s="163"/>
      <c r="AJ225" s="163"/>
      <c r="AK225" s="163"/>
    </row>
    <row r="226" spans="1:37" ht="12" customHeight="1" outlineLevel="6">
      <c r="A226" s="132"/>
      <c r="B226" s="132"/>
      <c r="C226" s="132">
        <v>7</v>
      </c>
      <c r="D226" s="159" t="s">
        <v>2129</v>
      </c>
      <c r="E226" s="133"/>
      <c r="F226" s="133"/>
      <c r="G226" s="133"/>
      <c r="H226" s="133"/>
      <c r="I226" s="133"/>
      <c r="J226" s="133"/>
      <c r="K226" s="133" t="s">
        <v>1597</v>
      </c>
      <c r="L226" s="133"/>
      <c r="M226" s="133"/>
      <c r="N226" s="133"/>
      <c r="O226" s="133"/>
      <c r="P226" s="134">
        <v>44855</v>
      </c>
      <c r="Q226" s="134">
        <v>44861</v>
      </c>
      <c r="R226" s="133"/>
      <c r="S226" s="135">
        <v>5</v>
      </c>
      <c r="T226" s="135">
        <v>5</v>
      </c>
      <c r="U226" s="135">
        <v>5</v>
      </c>
      <c r="V226" s="135">
        <v>5</v>
      </c>
      <c r="W226" s="134">
        <v>44855</v>
      </c>
      <c r="X226" s="134">
        <v>44861</v>
      </c>
      <c r="Y226" s="136">
        <v>5</v>
      </c>
      <c r="Z226" s="137">
        <v>5</v>
      </c>
      <c r="AA226" s="135"/>
      <c r="AB226" s="209" t="s">
        <v>1776</v>
      </c>
      <c r="AC226" s="220"/>
      <c r="AD226" s="158">
        <v>1</v>
      </c>
      <c r="AE226" s="166">
        <v>1</v>
      </c>
      <c r="AF226" s="162"/>
      <c r="AG226" s="163" t="str">
        <f>"                                                        " &amp; TEXT(AE226,"#0.00%") &amp; "/" &amp; TEXT(AD226,"#0.00% ") &amp; "" &amp; "부서생성" &amp; "(남상범)" &amp; " " &amp; IF(P226="","",TEXT(P226,"M/D-")) &amp; IF(Q226="","",TEXT(Q226,"M/D")) &amp; " "</f>
        <v xml:space="preserve">                                                        100.00%/100.00% 부서생성(남상범) 10/21-10/27 </v>
      </c>
      <c r="AH226" s="163"/>
      <c r="AI226" s="163"/>
      <c r="AJ226" s="163"/>
      <c r="AK226" s="163"/>
    </row>
    <row r="227" spans="1:37" ht="12" customHeight="1" outlineLevel="6">
      <c r="A227" s="132"/>
      <c r="B227" s="132"/>
      <c r="C227" s="132">
        <v>7</v>
      </c>
      <c r="D227" s="159" t="s">
        <v>2130</v>
      </c>
      <c r="E227" s="133"/>
      <c r="F227" s="133"/>
      <c r="G227" s="133"/>
      <c r="H227" s="133"/>
      <c r="I227" s="133"/>
      <c r="J227" s="133"/>
      <c r="K227" s="133" t="s">
        <v>1598</v>
      </c>
      <c r="L227" s="133"/>
      <c r="M227" s="133"/>
      <c r="N227" s="133"/>
      <c r="O227" s="133"/>
      <c r="P227" s="134">
        <v>44862</v>
      </c>
      <c r="Q227" s="134">
        <v>44862</v>
      </c>
      <c r="R227" s="133"/>
      <c r="S227" s="135">
        <v>1</v>
      </c>
      <c r="T227" s="135">
        <v>1</v>
      </c>
      <c r="U227" s="135">
        <v>1</v>
      </c>
      <c r="V227" s="135">
        <v>1</v>
      </c>
      <c r="W227" s="134">
        <v>44862</v>
      </c>
      <c r="X227" s="134"/>
      <c r="Y227" s="136">
        <v>0</v>
      </c>
      <c r="Z227" s="137">
        <v>0</v>
      </c>
      <c r="AA227" s="135"/>
      <c r="AB227" s="209" t="s">
        <v>1776</v>
      </c>
      <c r="AC227" s="220"/>
      <c r="AD227" s="158">
        <v>1</v>
      </c>
      <c r="AE227" s="164">
        <v>0</v>
      </c>
      <c r="AF227" s="162"/>
      <c r="AG227" s="163" t="str">
        <f>"                                                        " &amp; TEXT(AE227,"#0.00%") &amp; "/" &amp; TEXT(AD227,"#0.00% ") &amp; "" &amp; "이름변경" &amp; "(남상범)" &amp; " " &amp; IF(P227="","",TEXT(P227,"M/D-")) &amp; IF(Q227="","",TEXT(Q227,"M/D")) &amp; " "</f>
        <v xml:space="preserve">                                                        0.00%/100.00% 이름변경(남상범) 10/28-10/28 </v>
      </c>
      <c r="AH227" s="163"/>
      <c r="AI227" s="163"/>
      <c r="AJ227" s="163"/>
      <c r="AK227" s="163"/>
    </row>
    <row r="228" spans="1:37" ht="12" customHeight="1" outlineLevel="6">
      <c r="A228" s="132"/>
      <c r="B228" s="132"/>
      <c r="C228" s="132">
        <v>7</v>
      </c>
      <c r="D228" s="159" t="s">
        <v>2131</v>
      </c>
      <c r="E228" s="133"/>
      <c r="F228" s="133"/>
      <c r="G228" s="133"/>
      <c r="H228" s="133"/>
      <c r="I228" s="133"/>
      <c r="J228" s="133"/>
      <c r="K228" s="133" t="s">
        <v>1599</v>
      </c>
      <c r="L228" s="133"/>
      <c r="M228" s="133"/>
      <c r="N228" s="133"/>
      <c r="O228" s="133"/>
      <c r="P228" s="134">
        <v>44865</v>
      </c>
      <c r="Q228" s="134">
        <v>44869</v>
      </c>
      <c r="R228" s="133"/>
      <c r="S228" s="135">
        <v>5</v>
      </c>
      <c r="T228" s="135">
        <v>5</v>
      </c>
      <c r="U228" s="135">
        <v>5</v>
      </c>
      <c r="V228" s="135">
        <v>5</v>
      </c>
      <c r="W228" s="134">
        <v>44865</v>
      </c>
      <c r="X228" s="134">
        <v>44869</v>
      </c>
      <c r="Y228" s="136">
        <v>5</v>
      </c>
      <c r="Z228" s="137">
        <v>5</v>
      </c>
      <c r="AA228" s="135"/>
      <c r="AB228" s="209" t="s">
        <v>1776</v>
      </c>
      <c r="AC228" s="220"/>
      <c r="AD228" s="158">
        <v>1</v>
      </c>
      <c r="AE228" s="166">
        <v>1</v>
      </c>
      <c r="AF228" s="162"/>
      <c r="AG228" s="163"/>
      <c r="AH228" s="163" t="str">
        <f>"         " &amp; TEXT(AE228,"#0.00%") &amp; "/" &amp; TEXT(AD228,"#0.00% ") &amp; "" &amp; "부서삭제" &amp; "(남상범)" &amp; " " &amp; IF(P228="","",TEXT(P228,"M/D-")) &amp; IF(Q228="","",TEXT(Q228,"M/D")) &amp; " "</f>
        <v xml:space="preserve">         100.00%/100.00% 부서삭제(남상범) 10/31-11/4 </v>
      </c>
      <c r="AI228" s="163"/>
      <c r="AJ228" s="163"/>
      <c r="AK228" s="163"/>
    </row>
    <row r="229" spans="1:37" ht="12" customHeight="1" outlineLevel="5">
      <c r="A229" s="132"/>
      <c r="B229" s="132"/>
      <c r="C229" s="132">
        <v>6</v>
      </c>
      <c r="D229" s="159" t="s">
        <v>2132</v>
      </c>
      <c r="E229" s="133"/>
      <c r="F229" s="133"/>
      <c r="G229" s="133"/>
      <c r="H229" s="133"/>
      <c r="I229" s="133"/>
      <c r="J229" s="133" t="s">
        <v>1600</v>
      </c>
      <c r="K229" s="133"/>
      <c r="L229" s="133"/>
      <c r="M229" s="133"/>
      <c r="N229" s="133"/>
      <c r="O229" s="133"/>
      <c r="P229" s="134">
        <v>44872</v>
      </c>
      <c r="Q229" s="134">
        <v>44876</v>
      </c>
      <c r="R229" s="133"/>
      <c r="S229" s="135">
        <v>5</v>
      </c>
      <c r="T229" s="135">
        <v>1</v>
      </c>
      <c r="U229" s="135">
        <v>5</v>
      </c>
      <c r="V229" s="135">
        <v>1</v>
      </c>
      <c r="W229" s="134"/>
      <c r="X229" s="134"/>
      <c r="Y229" s="136">
        <v>0</v>
      </c>
      <c r="Z229" s="137">
        <v>0</v>
      </c>
      <c r="AA229" s="135"/>
      <c r="AB229" s="209" t="s">
        <v>1776</v>
      </c>
      <c r="AC229" s="220"/>
      <c r="AD229" s="158">
        <v>0.2</v>
      </c>
      <c r="AE229" s="164">
        <v>0</v>
      </c>
      <c r="AF229" s="162"/>
      <c r="AG229" s="163"/>
      <c r="AH229" s="163" t="str">
        <f>"             " &amp; TEXT(AE229,"#0.00%") &amp; "/" &amp; TEXT(AD229,"#0.00% ") &amp; "" &amp; "조직 변경 이력" &amp; "(남상범)" &amp; " " &amp; IF(P229="","",TEXT(P229,"M/D-")) &amp; IF(Q229="","",TEXT(Q229,"M/D")) &amp; " "</f>
        <v xml:space="preserve">             0.00%/20.00% 조직 변경 이력(남상범) 11/7-11/11 </v>
      </c>
      <c r="AI229" s="163"/>
      <c r="AJ229" s="163"/>
      <c r="AK229" s="163"/>
    </row>
    <row r="230" spans="1:37" ht="12" customHeight="1" outlineLevel="4">
      <c r="A230" s="132"/>
      <c r="B230" s="132" t="s">
        <v>1363</v>
      </c>
      <c r="C230" s="132">
        <v>5</v>
      </c>
      <c r="D230" s="159" t="s">
        <v>2133</v>
      </c>
      <c r="E230" s="133"/>
      <c r="F230" s="133"/>
      <c r="G230" s="133"/>
      <c r="H230" s="133"/>
      <c r="I230" s="133" t="s">
        <v>1512</v>
      </c>
      <c r="J230" s="133"/>
      <c r="K230" s="133"/>
      <c r="L230" s="133"/>
      <c r="M230" s="133"/>
      <c r="N230" s="133"/>
      <c r="O230" s="133"/>
      <c r="P230" s="134">
        <v>44879</v>
      </c>
      <c r="Q230" s="134">
        <v>44889</v>
      </c>
      <c r="R230" s="133"/>
      <c r="S230" s="135">
        <v>9</v>
      </c>
      <c r="T230" s="135">
        <v>0</v>
      </c>
      <c r="U230" s="135">
        <v>9</v>
      </c>
      <c r="V230" s="135">
        <v>0</v>
      </c>
      <c r="W230" s="134"/>
      <c r="X230" s="134"/>
      <c r="Y230" s="136">
        <v>0</v>
      </c>
      <c r="Z230" s="137">
        <v>0</v>
      </c>
      <c r="AA230" s="135"/>
      <c r="AB230" s="209" t="s">
        <v>1776</v>
      </c>
      <c r="AC230" s="220"/>
      <c r="AD230" s="158">
        <v>0</v>
      </c>
      <c r="AE230" s="192">
        <v>0</v>
      </c>
      <c r="AF230" s="162"/>
      <c r="AG230" s="163"/>
      <c r="AH230" s="163" t="str">
        <f>"                            " &amp; TEXT(AE230,"#0.00%") &amp; "/" &amp; TEXT(AD230,"#0.00% ") &amp; "" &amp; "프로젝트" &amp; "(남상범)" &amp; " " &amp; IF(P230="","",TEXT(P230,"M/D-")) &amp; IF(Q230="","",TEXT(Q230,"M/D")) &amp; " "</f>
        <v xml:space="preserve">                            0.00%/0.00% 프로젝트(남상범) 11/14-11/24 </v>
      </c>
      <c r="AI230" s="163"/>
      <c r="AJ230" s="163"/>
      <c r="AK230" s="163"/>
    </row>
    <row r="231" spans="1:37" ht="12" customHeight="1" outlineLevel="5">
      <c r="A231" s="132"/>
      <c r="B231" s="132"/>
      <c r="C231" s="132">
        <v>6</v>
      </c>
      <c r="D231" s="159" t="s">
        <v>2134</v>
      </c>
      <c r="E231" s="133"/>
      <c r="F231" s="133"/>
      <c r="G231" s="133"/>
      <c r="H231" s="133"/>
      <c r="I231" s="133"/>
      <c r="J231" s="133" t="s">
        <v>1562</v>
      </c>
      <c r="K231" s="133"/>
      <c r="L231" s="133"/>
      <c r="M231" s="133"/>
      <c r="N231" s="133"/>
      <c r="O231" s="133"/>
      <c r="P231" s="134">
        <v>44879</v>
      </c>
      <c r="Q231" s="134">
        <v>44880</v>
      </c>
      <c r="R231" s="133"/>
      <c r="S231" s="135">
        <v>2</v>
      </c>
      <c r="T231" s="135">
        <v>0</v>
      </c>
      <c r="U231" s="135">
        <v>2</v>
      </c>
      <c r="V231" s="135">
        <v>0</v>
      </c>
      <c r="W231" s="134"/>
      <c r="X231" s="134"/>
      <c r="Y231" s="136">
        <v>0</v>
      </c>
      <c r="Z231" s="137">
        <v>0</v>
      </c>
      <c r="AA231" s="135"/>
      <c r="AB231" s="209" t="s">
        <v>1776</v>
      </c>
      <c r="AC231" s="220"/>
      <c r="AD231" s="158">
        <v>0</v>
      </c>
      <c r="AE231" s="166">
        <v>0</v>
      </c>
      <c r="AF231" s="162"/>
      <c r="AG231" s="163"/>
      <c r="AH231" s="163" t="str">
        <f>"                            " &amp; TEXT(AE231,"#0.00%") &amp; "/" &amp; TEXT(AD231,"#0.00% ") &amp; "" &amp; "기본정보" &amp; "(남상범)" &amp; " " &amp; IF(P231="","",TEXT(P231,"M/D-")) &amp; IF(Q231="","",TEXT(Q231,"M/D")) &amp; " "</f>
        <v xml:space="preserve">                            0.00%/0.00% 기본정보(남상범) 11/14-11/15 </v>
      </c>
      <c r="AI231" s="163"/>
      <c r="AJ231" s="163"/>
      <c r="AK231" s="163"/>
    </row>
    <row r="232" spans="1:37" ht="12" customHeight="1" outlineLevel="5">
      <c r="A232" s="132"/>
      <c r="B232" s="132" t="s">
        <v>1363</v>
      </c>
      <c r="C232" s="132">
        <v>6</v>
      </c>
      <c r="D232" s="159" t="s">
        <v>2135</v>
      </c>
      <c r="E232" s="133"/>
      <c r="F232" s="133"/>
      <c r="G232" s="133"/>
      <c r="H232" s="133"/>
      <c r="I232" s="133"/>
      <c r="J232" s="133" t="s">
        <v>1563</v>
      </c>
      <c r="K232" s="133"/>
      <c r="L232" s="133"/>
      <c r="M232" s="133"/>
      <c r="N232" s="133"/>
      <c r="O232" s="133"/>
      <c r="P232" s="134">
        <v>44881</v>
      </c>
      <c r="Q232" s="134">
        <v>44889</v>
      </c>
      <c r="R232" s="133"/>
      <c r="S232" s="135">
        <v>7</v>
      </c>
      <c r="T232" s="135">
        <v>0</v>
      </c>
      <c r="U232" s="135">
        <v>7</v>
      </c>
      <c r="V232" s="135">
        <v>0</v>
      </c>
      <c r="W232" s="134"/>
      <c r="X232" s="134"/>
      <c r="Y232" s="136">
        <v>0</v>
      </c>
      <c r="Z232" s="137">
        <v>0</v>
      </c>
      <c r="AA232" s="135"/>
      <c r="AB232" s="209" t="s">
        <v>1776</v>
      </c>
      <c r="AC232" s="220"/>
      <c r="AD232" s="158">
        <v>0</v>
      </c>
      <c r="AE232" s="192">
        <v>0</v>
      </c>
      <c r="AF232" s="162"/>
      <c r="AG232" s="163"/>
      <c r="AH232" s="163" t="str">
        <f>"                                " &amp; TEXT(AE232,"#0.00%") &amp; "/" &amp; TEXT(AD232,"#0.00% ") &amp; "" &amp; "상세정보" &amp; "(남상범)" &amp; " " &amp; IF(P232="","",TEXT(P232,"M/D-")) &amp; IF(Q232="","",TEXT(Q232,"M/D")) &amp; " "</f>
        <v xml:space="preserve">                                0.00%/0.00% 상세정보(남상범) 11/16-11/24 </v>
      </c>
      <c r="AI232" s="163"/>
      <c r="AJ232" s="163"/>
      <c r="AK232" s="163"/>
    </row>
    <row r="233" spans="1:37" ht="12" customHeight="1" outlineLevel="6">
      <c r="A233" s="132"/>
      <c r="B233" s="132"/>
      <c r="C233" s="132">
        <v>7</v>
      </c>
      <c r="D233" s="159" t="s">
        <v>2136</v>
      </c>
      <c r="E233" s="133"/>
      <c r="F233" s="133"/>
      <c r="G233" s="133"/>
      <c r="H233" s="133"/>
      <c r="I233" s="133"/>
      <c r="J233" s="133"/>
      <c r="K233" s="133" t="s">
        <v>1601</v>
      </c>
      <c r="L233" s="133"/>
      <c r="M233" s="133"/>
      <c r="N233" s="133"/>
      <c r="O233" s="133"/>
      <c r="P233" s="134">
        <v>44881</v>
      </c>
      <c r="Q233" s="134">
        <v>44883</v>
      </c>
      <c r="R233" s="133"/>
      <c r="S233" s="135">
        <v>3</v>
      </c>
      <c r="T233" s="135">
        <v>0</v>
      </c>
      <c r="U233" s="135">
        <v>3</v>
      </c>
      <c r="V233" s="135">
        <v>0</v>
      </c>
      <c r="W233" s="134"/>
      <c r="X233" s="134"/>
      <c r="Y233" s="136">
        <v>0</v>
      </c>
      <c r="Z233" s="137">
        <v>0</v>
      </c>
      <c r="AA233" s="135"/>
      <c r="AB233" s="209" t="s">
        <v>1776</v>
      </c>
      <c r="AC233" s="220"/>
      <c r="AD233" s="158">
        <v>0</v>
      </c>
      <c r="AE233" s="166">
        <v>0</v>
      </c>
      <c r="AF233" s="162"/>
      <c r="AG233" s="163"/>
      <c r="AH233" s="163" t="str">
        <f>"                                " &amp; TEXT(AE233,"#0.00%") &amp; "/" &amp; TEXT(AD233,"#0.00% ") &amp; "" &amp; "개요" &amp; "(남상범)" &amp; " " &amp; IF(P233="","",TEXT(P233,"M/D-")) &amp; IF(Q233="","",TEXT(Q233,"M/D")) &amp; " "</f>
        <v xml:space="preserve">                                0.00%/0.00% 개요(남상범) 11/16-11/18 </v>
      </c>
      <c r="AI233" s="163"/>
      <c r="AJ233" s="163"/>
      <c r="AK233" s="163"/>
    </row>
    <row r="234" spans="1:37" ht="12" customHeight="1" outlineLevel="6">
      <c r="A234" s="132"/>
      <c r="B234" s="132"/>
      <c r="C234" s="132">
        <v>7</v>
      </c>
      <c r="D234" s="159" t="s">
        <v>2137</v>
      </c>
      <c r="E234" s="133"/>
      <c r="F234" s="133"/>
      <c r="G234" s="133"/>
      <c r="H234" s="133"/>
      <c r="I234" s="133"/>
      <c r="J234" s="133"/>
      <c r="K234" s="133" t="s">
        <v>1602</v>
      </c>
      <c r="L234" s="133"/>
      <c r="M234" s="133"/>
      <c r="N234" s="133"/>
      <c r="O234" s="133"/>
      <c r="P234" s="134">
        <v>44886</v>
      </c>
      <c r="Q234" s="134">
        <v>44887</v>
      </c>
      <c r="R234" s="133"/>
      <c r="S234" s="135">
        <v>2</v>
      </c>
      <c r="T234" s="135">
        <v>0</v>
      </c>
      <c r="U234" s="135">
        <v>2</v>
      </c>
      <c r="V234" s="135">
        <v>0</v>
      </c>
      <c r="W234" s="134"/>
      <c r="X234" s="134"/>
      <c r="Y234" s="136">
        <v>0</v>
      </c>
      <c r="Z234" s="137">
        <v>0</v>
      </c>
      <c r="AA234" s="135"/>
      <c r="AB234" s="209" t="s">
        <v>1776</v>
      </c>
      <c r="AC234" s="220"/>
      <c r="AD234" s="158">
        <v>0</v>
      </c>
      <c r="AE234" s="166">
        <v>0</v>
      </c>
      <c r="AF234" s="162"/>
      <c r="AG234" s="163"/>
      <c r="AH234" s="163" t="str">
        <f>"                                           " &amp; TEXT(AE234,"#0.00%") &amp; "/" &amp; TEXT(AD234,"#0.00% ") &amp; "" &amp; "참여인력" &amp; "(남상범)" &amp; " " &amp; IF(P234="","",TEXT(P234,"M/D-")) &amp; IF(Q234="","",TEXT(Q234,"M/D")) &amp; " "</f>
        <v xml:space="preserve">                                           0.00%/0.00% 참여인력(남상범) 11/21-11/22 </v>
      </c>
      <c r="AI234" s="163"/>
      <c r="AJ234" s="163"/>
      <c r="AK234" s="163"/>
    </row>
    <row r="235" spans="1:37" ht="12" customHeight="1" outlineLevel="6">
      <c r="A235" s="132"/>
      <c r="B235" s="132"/>
      <c r="C235" s="132">
        <v>7</v>
      </c>
      <c r="D235" s="159" t="s">
        <v>2138</v>
      </c>
      <c r="E235" s="133"/>
      <c r="F235" s="133"/>
      <c r="G235" s="133"/>
      <c r="H235" s="133"/>
      <c r="I235" s="133"/>
      <c r="J235" s="133"/>
      <c r="K235" s="133" t="s">
        <v>1568</v>
      </c>
      <c r="L235" s="133"/>
      <c r="M235" s="133"/>
      <c r="N235" s="133"/>
      <c r="O235" s="133"/>
      <c r="P235" s="134">
        <v>44888</v>
      </c>
      <c r="Q235" s="134">
        <v>44889</v>
      </c>
      <c r="R235" s="133"/>
      <c r="S235" s="135">
        <v>2</v>
      </c>
      <c r="T235" s="135">
        <v>0</v>
      </c>
      <c r="U235" s="135">
        <v>2</v>
      </c>
      <c r="V235" s="135">
        <v>0</v>
      </c>
      <c r="W235" s="134"/>
      <c r="X235" s="134"/>
      <c r="Y235" s="136">
        <v>0</v>
      </c>
      <c r="Z235" s="137">
        <v>0</v>
      </c>
      <c r="AA235" s="135"/>
      <c r="AB235" s="209" t="s">
        <v>1776</v>
      </c>
      <c r="AC235" s="220"/>
      <c r="AD235" s="158">
        <v>0</v>
      </c>
      <c r="AE235" s="166">
        <v>0</v>
      </c>
      <c r="AF235" s="162"/>
      <c r="AG235" s="163"/>
      <c r="AH235" s="163" t="str">
        <f>"                                               " &amp; TEXT(AE235,"#0.00%") &amp; "/" &amp; TEXT(AD235,"#0.00% ") &amp; "" &amp; "기타" &amp; "(남상범)" &amp; " " &amp; IF(P235="","",TEXT(P235,"M/D-")) &amp; IF(Q235="","",TEXT(Q235,"M/D")) &amp; " "</f>
        <v xml:space="preserve">                                               0.00%/0.00% 기타(남상범) 11/23-11/24 </v>
      </c>
      <c r="AI235" s="163"/>
      <c r="AJ235" s="163"/>
      <c r="AK235" s="163"/>
    </row>
    <row r="236" spans="1:37" ht="12" customHeight="1" outlineLevel="4">
      <c r="A236" s="132"/>
      <c r="B236" s="132" t="s">
        <v>1363</v>
      </c>
      <c r="C236" s="132">
        <v>5</v>
      </c>
      <c r="D236" s="159" t="s">
        <v>2139</v>
      </c>
      <c r="E236" s="133"/>
      <c r="F236" s="133"/>
      <c r="G236" s="133"/>
      <c r="H236" s="133"/>
      <c r="I236" s="133" t="s">
        <v>1513</v>
      </c>
      <c r="J236" s="133"/>
      <c r="K236" s="133"/>
      <c r="L236" s="133"/>
      <c r="M236" s="133"/>
      <c r="N236" s="133"/>
      <c r="O236" s="133"/>
      <c r="P236" s="134">
        <v>44890</v>
      </c>
      <c r="Q236" s="134">
        <v>44925</v>
      </c>
      <c r="R236" s="133"/>
      <c r="S236" s="135">
        <v>25</v>
      </c>
      <c r="T236" s="135">
        <v>0</v>
      </c>
      <c r="U236" s="135">
        <v>26</v>
      </c>
      <c r="V236" s="135">
        <v>0</v>
      </c>
      <c r="W236" s="134"/>
      <c r="X236" s="134"/>
      <c r="Y236" s="136">
        <v>0</v>
      </c>
      <c r="Z236" s="137">
        <v>0</v>
      </c>
      <c r="AA236" s="135"/>
      <c r="AB236" s="209" t="s">
        <v>1776</v>
      </c>
      <c r="AC236" s="220"/>
      <c r="AD236" s="158">
        <v>0</v>
      </c>
      <c r="AE236" s="192">
        <v>0</v>
      </c>
      <c r="AF236" s="162"/>
      <c r="AG236" s="163"/>
      <c r="AH236" s="163" t="str">
        <f>"                                                   " &amp; TEXT(AE236,"#0.00%") &amp; "/" &amp; TEXT(AD236,"#0.00% ") &amp; "" &amp; "보고서" &amp; "(남상범)" &amp; " " &amp; IF(P236="","",TEXT(P236,"M/D-")) &amp; IF(Q236="","",TEXT(Q236,"M/D")) &amp; " "</f>
        <v xml:space="preserve">                                                   0.00%/0.00% 보고서(남상범) 11/25-12/30 </v>
      </c>
      <c r="AI236" s="163"/>
      <c r="AJ236" s="163"/>
      <c r="AK236" s="163"/>
    </row>
    <row r="237" spans="1:37" ht="12" customHeight="1" outlineLevel="5">
      <c r="A237" s="132"/>
      <c r="B237" s="132" t="s">
        <v>1363</v>
      </c>
      <c r="C237" s="132">
        <v>6</v>
      </c>
      <c r="D237" s="159" t="s">
        <v>2140</v>
      </c>
      <c r="E237" s="133"/>
      <c r="F237" s="133"/>
      <c r="G237" s="133"/>
      <c r="H237" s="133"/>
      <c r="I237" s="133"/>
      <c r="J237" s="133" t="s">
        <v>1455</v>
      </c>
      <c r="K237" s="133"/>
      <c r="L237" s="133"/>
      <c r="M237" s="133"/>
      <c r="N237" s="133"/>
      <c r="O237" s="133"/>
      <c r="P237" s="134">
        <v>44890</v>
      </c>
      <c r="Q237" s="134">
        <v>44918</v>
      </c>
      <c r="R237" s="133"/>
      <c r="S237" s="135">
        <v>21</v>
      </c>
      <c r="T237" s="135">
        <v>0</v>
      </c>
      <c r="U237" s="135">
        <v>21</v>
      </c>
      <c r="V237" s="135">
        <v>0</v>
      </c>
      <c r="W237" s="134"/>
      <c r="X237" s="134"/>
      <c r="Y237" s="136">
        <v>0</v>
      </c>
      <c r="Z237" s="137">
        <v>0</v>
      </c>
      <c r="AA237" s="135"/>
      <c r="AB237" s="209" t="s">
        <v>1776</v>
      </c>
      <c r="AC237" s="220"/>
      <c r="AD237" s="158">
        <v>0</v>
      </c>
      <c r="AE237" s="192">
        <v>0</v>
      </c>
      <c r="AF237" s="162"/>
      <c r="AG237" s="163"/>
      <c r="AH237" s="163" t="str">
        <f>"                                                   " &amp; TEXT(AE237,"#0.00%") &amp; "/" &amp; TEXT(AD237,"#0.00% ") &amp; "" &amp; "프로젝트 관리" &amp; "(남상범)" &amp; " " &amp; IF(P237="","",TEXT(P237,"M/D-")) &amp; IF(Q237="","",TEXT(Q237,"M/D")) &amp; " "</f>
        <v xml:space="preserve">                                                   0.00%/0.00% 프로젝트 관리(남상범) 11/25-12/23 </v>
      </c>
      <c r="AI237" s="163"/>
      <c r="AJ237" s="163"/>
      <c r="AK237" s="163"/>
    </row>
    <row r="238" spans="1:37" ht="12" customHeight="1" outlineLevel="6">
      <c r="A238" s="132"/>
      <c r="B238" s="132"/>
      <c r="C238" s="132">
        <v>7</v>
      </c>
      <c r="D238" s="159" t="s">
        <v>2141</v>
      </c>
      <c r="E238" s="133"/>
      <c r="F238" s="133"/>
      <c r="G238" s="133"/>
      <c r="H238" s="133"/>
      <c r="I238" s="133"/>
      <c r="J238" s="133"/>
      <c r="K238" s="133" t="s">
        <v>1603</v>
      </c>
      <c r="L238" s="133"/>
      <c r="M238" s="133"/>
      <c r="N238" s="133"/>
      <c r="O238" s="133"/>
      <c r="P238" s="134">
        <v>44890</v>
      </c>
      <c r="Q238" s="134">
        <v>44894</v>
      </c>
      <c r="R238" s="133"/>
      <c r="S238" s="135">
        <v>3</v>
      </c>
      <c r="T238" s="135">
        <v>0</v>
      </c>
      <c r="U238" s="135">
        <v>3</v>
      </c>
      <c r="V238" s="135">
        <v>0</v>
      </c>
      <c r="W238" s="134"/>
      <c r="X238" s="134"/>
      <c r="Y238" s="136">
        <v>0</v>
      </c>
      <c r="Z238" s="137">
        <v>0</v>
      </c>
      <c r="AA238" s="135"/>
      <c r="AB238" s="209" t="s">
        <v>1776</v>
      </c>
      <c r="AC238" s="220"/>
      <c r="AD238" s="158">
        <v>0</v>
      </c>
      <c r="AE238" s="166">
        <v>0</v>
      </c>
      <c r="AF238" s="162"/>
      <c r="AG238" s="163"/>
      <c r="AH238" s="163" t="str">
        <f>"                                                   " &amp; TEXT(AE238,"#0.00%") &amp; "/" &amp; TEXT(AD238,"#0.00% ") &amp; "" &amp; "프로필목록" &amp; "(남상범)" &amp; " " &amp; IF(P238="","",TEXT(P238,"M/D-")) &amp; IF(Q238="","",TEXT(Q238,"M/D")) &amp; " "</f>
        <v xml:space="preserve">                                                   0.00%/0.00% 프로필목록(남상범) 11/25-11/29 </v>
      </c>
      <c r="AI238" s="163"/>
      <c r="AJ238" s="163"/>
      <c r="AK238" s="163"/>
    </row>
    <row r="239" spans="1:37" ht="12" customHeight="1" outlineLevel="6">
      <c r="A239" s="132"/>
      <c r="B239" s="132"/>
      <c r="C239" s="132">
        <v>7</v>
      </c>
      <c r="D239" s="159" t="s">
        <v>2142</v>
      </c>
      <c r="E239" s="133"/>
      <c r="F239" s="133"/>
      <c r="G239" s="133"/>
      <c r="H239" s="133"/>
      <c r="I239" s="133"/>
      <c r="J239" s="133"/>
      <c r="K239" s="133" t="s">
        <v>1576</v>
      </c>
      <c r="L239" s="133"/>
      <c r="M239" s="133"/>
      <c r="N239" s="133"/>
      <c r="O239" s="133"/>
      <c r="P239" s="134">
        <v>44895</v>
      </c>
      <c r="Q239" s="134">
        <v>44895</v>
      </c>
      <c r="R239" s="133"/>
      <c r="S239" s="135">
        <v>1</v>
      </c>
      <c r="T239" s="135">
        <v>0</v>
      </c>
      <c r="U239" s="135">
        <v>1</v>
      </c>
      <c r="V239" s="135">
        <v>0</v>
      </c>
      <c r="W239" s="134"/>
      <c r="X239" s="134"/>
      <c r="Y239" s="136">
        <v>0</v>
      </c>
      <c r="Z239" s="137">
        <v>0</v>
      </c>
      <c r="AA239" s="135"/>
      <c r="AB239" s="209" t="s">
        <v>1776</v>
      </c>
      <c r="AC239" s="220"/>
      <c r="AD239" s="158">
        <v>0</v>
      </c>
      <c r="AE239" s="166">
        <v>0</v>
      </c>
      <c r="AF239" s="162"/>
      <c r="AG239" s="163"/>
      <c r="AH239" s="163" t="str">
        <f>"                                                              " &amp; TEXT(AE239,"#0.00%") &amp; "/" &amp; TEXT(AD239,"#0.00% ") &amp; "" &amp; "프로필보기" &amp; "(남상범)" &amp; " " &amp; IF(P239="","",TEXT(P239,"M/D-")) &amp; IF(Q239="","",TEXT(Q239,"M/D")) &amp; " "</f>
        <v xml:space="preserve">                                                              0.00%/0.00% 프로필보기(남상범) 11/30-11/30 </v>
      </c>
      <c r="AI239" s="163"/>
      <c r="AJ239" s="163"/>
      <c r="AK239" s="163"/>
    </row>
    <row r="240" spans="1:37" ht="12" customHeight="1" outlineLevel="6">
      <c r="A240" s="132"/>
      <c r="B240" s="132"/>
      <c r="C240" s="132">
        <v>7</v>
      </c>
      <c r="D240" s="159" t="s">
        <v>2143</v>
      </c>
      <c r="E240" s="133"/>
      <c r="F240" s="133"/>
      <c r="G240" s="133"/>
      <c r="H240" s="133"/>
      <c r="I240" s="133"/>
      <c r="J240" s="133"/>
      <c r="K240" s="133" t="s">
        <v>1604</v>
      </c>
      <c r="L240" s="133"/>
      <c r="M240" s="133"/>
      <c r="N240" s="133"/>
      <c r="O240" s="133"/>
      <c r="P240" s="134">
        <v>44896</v>
      </c>
      <c r="Q240" s="134">
        <v>44909</v>
      </c>
      <c r="R240" s="133"/>
      <c r="S240" s="135">
        <v>10</v>
      </c>
      <c r="T240" s="135">
        <v>0</v>
      </c>
      <c r="U240" s="135">
        <v>10</v>
      </c>
      <c r="V240" s="135">
        <v>0</v>
      </c>
      <c r="W240" s="134"/>
      <c r="X240" s="134"/>
      <c r="Y240" s="136">
        <v>0</v>
      </c>
      <c r="Z240" s="137">
        <v>0</v>
      </c>
      <c r="AA240" s="135"/>
      <c r="AB240" s="209" t="s">
        <v>1776</v>
      </c>
      <c r="AC240" s="220"/>
      <c r="AD240" s="158">
        <v>0</v>
      </c>
      <c r="AE240" s="166">
        <v>0</v>
      </c>
      <c r="AF240" s="162"/>
      <c r="AG240" s="163"/>
      <c r="AH240" s="163"/>
      <c r="AI240" s="163" t="str">
        <f>"" &amp; TEXT(AE240,"#0.00%") &amp; "/" &amp; TEXT(AD240,"#0.00% ") &amp; "" &amp; "프로필수정" &amp; "(남상범)" &amp; " " &amp; IF(P240="","",TEXT(P240,"M/D-")) &amp; IF(Q240="","",TEXT(Q240,"M/D")) &amp; " "</f>
        <v xml:space="preserve">0.00%/0.00% 프로필수정(남상범) 12/1-12/14 </v>
      </c>
      <c r="AJ240" s="163"/>
      <c r="AK240" s="163"/>
    </row>
    <row r="241" spans="1:37" ht="12" customHeight="1" outlineLevel="6">
      <c r="A241" s="132"/>
      <c r="B241" s="132"/>
      <c r="C241" s="132">
        <v>7</v>
      </c>
      <c r="D241" s="159" t="s">
        <v>2144</v>
      </c>
      <c r="E241" s="133"/>
      <c r="F241" s="133"/>
      <c r="G241" s="133"/>
      <c r="H241" s="133"/>
      <c r="I241" s="133"/>
      <c r="J241" s="133"/>
      <c r="K241" s="133" t="s">
        <v>1605</v>
      </c>
      <c r="L241" s="133"/>
      <c r="M241" s="133"/>
      <c r="N241" s="133"/>
      <c r="O241" s="133"/>
      <c r="P241" s="134">
        <v>44910</v>
      </c>
      <c r="Q241" s="134">
        <v>44918</v>
      </c>
      <c r="R241" s="133"/>
      <c r="S241" s="135">
        <v>7</v>
      </c>
      <c r="T241" s="135">
        <v>0</v>
      </c>
      <c r="U241" s="135">
        <v>7</v>
      </c>
      <c r="V241" s="135">
        <v>0</v>
      </c>
      <c r="W241" s="134"/>
      <c r="X241" s="134"/>
      <c r="Y241" s="136">
        <v>0</v>
      </c>
      <c r="Z241" s="137">
        <v>0</v>
      </c>
      <c r="AA241" s="135"/>
      <c r="AB241" s="209" t="s">
        <v>1776</v>
      </c>
      <c r="AC241" s="220"/>
      <c r="AD241" s="158">
        <v>0</v>
      </c>
      <c r="AE241" s="166">
        <v>0</v>
      </c>
      <c r="AF241" s="162"/>
      <c r="AG241" s="163"/>
      <c r="AH241" s="163"/>
      <c r="AI241" s="163" t="str">
        <f>"                             " &amp; TEXT(AE241,"#0.00%") &amp; "/" &amp; TEXT(AD241,"#0.00% ") &amp; "" &amp; "PDF 저장" &amp; "(남상범)" &amp; " " &amp; IF(P241="","",TEXT(P241,"M/D-")) &amp; IF(Q241="","",TEXT(Q241,"M/D")) &amp; " "</f>
        <v xml:space="preserve">                             0.00%/0.00% PDF 저장(남상범) 12/15-12/23 </v>
      </c>
      <c r="AJ241" s="163"/>
      <c r="AK241" s="163"/>
    </row>
    <row r="242" spans="1:37" ht="12" customHeight="1" outlineLevel="5">
      <c r="A242" s="132"/>
      <c r="B242" s="132" t="s">
        <v>1363</v>
      </c>
      <c r="C242" s="132">
        <v>6</v>
      </c>
      <c r="D242" s="159" t="s">
        <v>2145</v>
      </c>
      <c r="E242" s="133"/>
      <c r="F242" s="133"/>
      <c r="G242" s="133"/>
      <c r="H242" s="133"/>
      <c r="I242" s="133"/>
      <c r="J242" s="133" t="s">
        <v>1606</v>
      </c>
      <c r="K242" s="133"/>
      <c r="L242" s="133"/>
      <c r="M242" s="133"/>
      <c r="N242" s="133"/>
      <c r="O242" s="133"/>
      <c r="P242" s="134">
        <v>44922</v>
      </c>
      <c r="Q242" s="134">
        <v>44925</v>
      </c>
      <c r="R242" s="133"/>
      <c r="S242" s="135">
        <v>4</v>
      </c>
      <c r="T242" s="135">
        <v>0</v>
      </c>
      <c r="U242" s="135">
        <v>4</v>
      </c>
      <c r="V242" s="135">
        <v>0</v>
      </c>
      <c r="W242" s="134"/>
      <c r="X242" s="134"/>
      <c r="Y242" s="136">
        <v>0</v>
      </c>
      <c r="Z242" s="137">
        <v>0</v>
      </c>
      <c r="AA242" s="135"/>
      <c r="AB242" s="209" t="s">
        <v>1776</v>
      </c>
      <c r="AC242" s="220"/>
      <c r="AD242" s="158">
        <v>0</v>
      </c>
      <c r="AE242" s="192">
        <v>0</v>
      </c>
      <c r="AF242" s="162"/>
      <c r="AG242" s="163"/>
      <c r="AH242" s="163"/>
      <c r="AI242" s="163" t="str">
        <f>"                                                      " &amp; TEXT(AE242,"#0.00%") &amp; "/" &amp; TEXT(AD242,"#0.00% ") &amp; "" &amp; "통계" &amp; "(남상범)" &amp; " " &amp; IF(P242="","",TEXT(P242,"M/D-")) &amp; IF(Q242="","",TEXT(Q242,"M/D")) &amp; " "</f>
        <v xml:space="preserve">                                                      0.00%/0.00% 통계(남상범) 12/27-12/30 </v>
      </c>
      <c r="AJ242" s="163"/>
      <c r="AK242" s="163"/>
    </row>
    <row r="243" spans="1:37" ht="12" customHeight="1" outlineLevel="6">
      <c r="A243" s="132"/>
      <c r="B243" s="132"/>
      <c r="C243" s="132">
        <v>7</v>
      </c>
      <c r="D243" s="159" t="s">
        <v>2146</v>
      </c>
      <c r="E243" s="133"/>
      <c r="F243" s="133"/>
      <c r="G243" s="133"/>
      <c r="H243" s="133"/>
      <c r="I243" s="133"/>
      <c r="J243" s="133"/>
      <c r="K243" s="133" t="s">
        <v>1607</v>
      </c>
      <c r="L243" s="133"/>
      <c r="M243" s="133"/>
      <c r="N243" s="133"/>
      <c r="O243" s="133"/>
      <c r="P243" s="134">
        <v>44922</v>
      </c>
      <c r="Q243" s="134">
        <v>44923</v>
      </c>
      <c r="R243" s="133"/>
      <c r="S243" s="135">
        <v>2</v>
      </c>
      <c r="T243" s="135">
        <v>0</v>
      </c>
      <c r="U243" s="135">
        <v>2</v>
      </c>
      <c r="V243" s="135">
        <v>0</v>
      </c>
      <c r="W243" s="134"/>
      <c r="X243" s="134"/>
      <c r="Y243" s="136">
        <v>0</v>
      </c>
      <c r="Z243" s="137">
        <v>0</v>
      </c>
      <c r="AA243" s="135"/>
      <c r="AB243" s="209" t="s">
        <v>1776</v>
      </c>
      <c r="AC243" s="220"/>
      <c r="AD243" s="158">
        <v>0</v>
      </c>
      <c r="AE243" s="166">
        <v>0</v>
      </c>
      <c r="AF243" s="162"/>
      <c r="AG243" s="163"/>
      <c r="AH243" s="163"/>
      <c r="AI243" s="163" t="str">
        <f>"                                                      " &amp; TEXT(AE243,"#0.00%") &amp; "/" &amp; TEXT(AD243,"#0.00% ") &amp; "" &amp; "인원현황" &amp; "(남상범)" &amp; " " &amp; IF(P243="","",TEXT(P243,"M/D-")) &amp; IF(Q243="","",TEXT(Q243,"M/D")) &amp; " "</f>
        <v xml:space="preserve">                                                      0.00%/0.00% 인원현황(남상범) 12/27-12/28 </v>
      </c>
      <c r="AJ243" s="163"/>
      <c r="AK243" s="163"/>
    </row>
    <row r="244" spans="1:37" ht="12" customHeight="1" outlineLevel="6">
      <c r="A244" s="132"/>
      <c r="B244" s="132"/>
      <c r="C244" s="132">
        <v>7</v>
      </c>
      <c r="D244" s="159" t="s">
        <v>2147</v>
      </c>
      <c r="E244" s="133"/>
      <c r="F244" s="133"/>
      <c r="G244" s="133"/>
      <c r="H244" s="133"/>
      <c r="I244" s="133"/>
      <c r="J244" s="133"/>
      <c r="K244" s="133" t="s">
        <v>1608</v>
      </c>
      <c r="L244" s="133"/>
      <c r="M244" s="133"/>
      <c r="N244" s="133"/>
      <c r="O244" s="133"/>
      <c r="P244" s="134">
        <v>44924</v>
      </c>
      <c r="Q244" s="134">
        <v>44925</v>
      </c>
      <c r="R244" s="133"/>
      <c r="S244" s="135">
        <v>2</v>
      </c>
      <c r="T244" s="135">
        <v>0</v>
      </c>
      <c r="U244" s="135">
        <v>2</v>
      </c>
      <c r="V244" s="135">
        <v>0</v>
      </c>
      <c r="W244" s="134"/>
      <c r="X244" s="134"/>
      <c r="Y244" s="136">
        <v>0</v>
      </c>
      <c r="Z244" s="137">
        <v>0</v>
      </c>
      <c r="AA244" s="135"/>
      <c r="AB244" s="209" t="s">
        <v>1776</v>
      </c>
      <c r="AC244" s="220"/>
      <c r="AD244" s="158">
        <v>0</v>
      </c>
      <c r="AE244" s="166">
        <v>0</v>
      </c>
      <c r="AF244" s="162"/>
      <c r="AG244" s="163"/>
      <c r="AH244" s="163"/>
      <c r="AI244" s="163" t="str">
        <f>"                                                          " &amp; TEXT(AE244,"#0.00%") &amp; "/" &amp; TEXT(AD244,"#0.00% ") &amp; "" &amp; "투입인원현황" &amp; "(남상범)" &amp; " " &amp; IF(P244="","",TEXT(P244,"M/D-")) &amp; IF(Q244="","",TEXT(Q244,"M/D")) &amp; " "</f>
        <v xml:space="preserve">                                                          0.00%/0.00% 투입인원현황(남상범) 12/29-12/30 </v>
      </c>
      <c r="AJ244" s="163"/>
      <c r="AK244" s="163"/>
    </row>
    <row r="245" spans="1:37" ht="12" customHeight="1" outlineLevel="2">
      <c r="A245" s="132"/>
      <c r="B245" s="132" t="s">
        <v>1363</v>
      </c>
      <c r="C245" s="132">
        <v>3</v>
      </c>
      <c r="D245" s="159" t="s">
        <v>2148</v>
      </c>
      <c r="E245" s="133"/>
      <c r="F245" s="133"/>
      <c r="G245" s="133" t="s">
        <v>1609</v>
      </c>
      <c r="H245" s="133"/>
      <c r="I245" s="133"/>
      <c r="J245" s="133"/>
      <c r="K245" s="133"/>
      <c r="L245" s="133"/>
      <c r="M245" s="133"/>
      <c r="N245" s="133"/>
      <c r="O245" s="133"/>
      <c r="P245" s="134">
        <v>44928</v>
      </c>
      <c r="Q245" s="134">
        <v>44949</v>
      </c>
      <c r="R245" s="133"/>
      <c r="S245" s="135">
        <v>16</v>
      </c>
      <c r="T245" s="135">
        <v>0</v>
      </c>
      <c r="U245" s="135">
        <v>16</v>
      </c>
      <c r="V245" s="135">
        <v>0</v>
      </c>
      <c r="W245" s="134"/>
      <c r="X245" s="134"/>
      <c r="Y245" s="136">
        <v>0</v>
      </c>
      <c r="Z245" s="137">
        <v>0</v>
      </c>
      <c r="AA245" s="135"/>
      <c r="AB245" s="209" t="s">
        <v>1777</v>
      </c>
      <c r="AC245" s="220"/>
      <c r="AD245" s="158">
        <v>0</v>
      </c>
      <c r="AE245" s="192">
        <v>0</v>
      </c>
      <c r="AF245" s="162"/>
      <c r="AG245" s="163"/>
      <c r="AH245" s="163"/>
      <c r="AI245" s="163"/>
      <c r="AJ245" s="163" t="str">
        <f>"  " &amp; TEXT(AE245,"#0.00%") &amp; "/" &amp; TEXT(AD245,"#0.00% ") &amp; "" &amp; "테스트" &amp; "(TFT)" &amp; " " &amp; IF(P245="","",TEXT(P245,"M/D-")) &amp; IF(Q245="","",TEXT(Q245,"M/D")) &amp; " "</f>
        <v xml:space="preserve">  0.00%/0.00% 테스트(TFT) 1/2-1/23 </v>
      </c>
      <c r="AK245" s="163"/>
    </row>
    <row r="246" spans="1:37" ht="12" customHeight="1" outlineLevel="3">
      <c r="A246" s="132"/>
      <c r="B246" s="132" t="s">
        <v>1363</v>
      </c>
      <c r="C246" s="132">
        <v>4</v>
      </c>
      <c r="D246" s="159" t="s">
        <v>2149</v>
      </c>
      <c r="E246" s="133"/>
      <c r="F246" s="133"/>
      <c r="G246" s="133"/>
      <c r="H246" s="133" t="s">
        <v>1610</v>
      </c>
      <c r="I246" s="133"/>
      <c r="J246" s="133"/>
      <c r="K246" s="133"/>
      <c r="L246" s="133"/>
      <c r="M246" s="133"/>
      <c r="N246" s="133"/>
      <c r="O246" s="133"/>
      <c r="P246" s="134">
        <v>44928</v>
      </c>
      <c r="Q246" s="134">
        <v>44939</v>
      </c>
      <c r="R246" s="133"/>
      <c r="S246" s="135">
        <v>10</v>
      </c>
      <c r="T246" s="135">
        <v>0</v>
      </c>
      <c r="U246" s="135">
        <v>10</v>
      </c>
      <c r="V246" s="135">
        <v>0</v>
      </c>
      <c r="W246" s="134"/>
      <c r="X246" s="134"/>
      <c r="Y246" s="136">
        <v>0</v>
      </c>
      <c r="Z246" s="137">
        <v>0</v>
      </c>
      <c r="AA246" s="135"/>
      <c r="AB246" s="209" t="s">
        <v>1777</v>
      </c>
      <c r="AC246" s="220"/>
      <c r="AD246" s="158">
        <v>0</v>
      </c>
      <c r="AE246" s="192">
        <v>0</v>
      </c>
      <c r="AF246" s="162"/>
      <c r="AG246" s="163"/>
      <c r="AH246" s="163"/>
      <c r="AI246" s="163"/>
      <c r="AJ246" s="163" t="str">
        <f>"  " &amp; TEXT(AE246,"#0.00%") &amp; "/" &amp; TEXT(AD246,"#0.00% ") &amp; "" &amp; "단위테스트" &amp; "(TFT)" &amp; " " &amp; IF(P246="","",TEXT(P246,"M/D-")) &amp; IF(Q246="","",TEXT(Q246,"M/D")) &amp; " "</f>
        <v xml:space="preserve">  0.00%/0.00% 단위테스트(TFT) 1/2-1/13 </v>
      </c>
      <c r="AK246" s="163"/>
    </row>
    <row r="247" spans="1:37" ht="12" customHeight="1" outlineLevel="4">
      <c r="A247" s="132"/>
      <c r="B247" s="132"/>
      <c r="C247" s="132">
        <v>5</v>
      </c>
      <c r="D247" s="159" t="s">
        <v>2150</v>
      </c>
      <c r="E247" s="133"/>
      <c r="F247" s="133"/>
      <c r="G247" s="133"/>
      <c r="H247" s="133"/>
      <c r="I247" s="133" t="s">
        <v>1610</v>
      </c>
      <c r="J247" s="133"/>
      <c r="K247" s="133"/>
      <c r="L247" s="133"/>
      <c r="M247" s="133"/>
      <c r="N247" s="133"/>
      <c r="O247" s="133"/>
      <c r="P247" s="134">
        <v>44928</v>
      </c>
      <c r="Q247" s="134">
        <v>44930</v>
      </c>
      <c r="R247" s="133"/>
      <c r="S247" s="135">
        <v>3</v>
      </c>
      <c r="T247" s="135">
        <v>0</v>
      </c>
      <c r="U247" s="135">
        <v>3</v>
      </c>
      <c r="V247" s="135">
        <v>0</v>
      </c>
      <c r="W247" s="134"/>
      <c r="X247" s="134"/>
      <c r="Y247" s="136">
        <v>0</v>
      </c>
      <c r="Z247" s="137">
        <v>0</v>
      </c>
      <c r="AA247" s="135"/>
      <c r="AB247" s="209" t="s">
        <v>1777</v>
      </c>
      <c r="AC247" s="220"/>
      <c r="AD247" s="158">
        <v>0</v>
      </c>
      <c r="AE247" s="166">
        <v>0</v>
      </c>
      <c r="AF247" s="162"/>
      <c r="AG247" s="163"/>
      <c r="AH247" s="163"/>
      <c r="AI247" s="163"/>
      <c r="AJ247" s="163" t="str">
        <f>"  " &amp; TEXT(AE247,"#0.00%") &amp; "/" &amp; TEXT(AD247,"#0.00% ") &amp; "" &amp; "단위테스트" &amp; "(TFT)" &amp; " " &amp; IF(P247="","",TEXT(P247,"M/D-")) &amp; IF(Q247="","",TEXT(Q247,"M/D")) &amp; " "</f>
        <v xml:space="preserve">  0.00%/0.00% 단위테스트(TFT) 1/2-1/4 </v>
      </c>
      <c r="AK247" s="163"/>
    </row>
    <row r="248" spans="1:37" ht="12" customHeight="1" outlineLevel="4">
      <c r="A248" s="132"/>
      <c r="B248" s="132"/>
      <c r="C248" s="132">
        <v>5</v>
      </c>
      <c r="D248" s="159" t="s">
        <v>2151</v>
      </c>
      <c r="E248" s="133"/>
      <c r="F248" s="133"/>
      <c r="G248" s="133"/>
      <c r="H248" s="133"/>
      <c r="I248" s="133" t="s">
        <v>1611</v>
      </c>
      <c r="J248" s="133"/>
      <c r="K248" s="133"/>
      <c r="L248" s="133"/>
      <c r="M248" s="133"/>
      <c r="N248" s="133"/>
      <c r="O248" s="133"/>
      <c r="P248" s="134">
        <v>44931</v>
      </c>
      <c r="Q248" s="134">
        <v>44939</v>
      </c>
      <c r="R248" s="133"/>
      <c r="S248" s="135">
        <v>7</v>
      </c>
      <c r="T248" s="135">
        <v>0</v>
      </c>
      <c r="U248" s="135">
        <v>7</v>
      </c>
      <c r="V248" s="135">
        <v>0</v>
      </c>
      <c r="W248" s="134"/>
      <c r="X248" s="134"/>
      <c r="Y248" s="136">
        <v>0</v>
      </c>
      <c r="Z248" s="137">
        <v>0</v>
      </c>
      <c r="AA248" s="135"/>
      <c r="AB248" s="209" t="s">
        <v>1777</v>
      </c>
      <c r="AC248" s="220"/>
      <c r="AD248" s="158">
        <v>0</v>
      </c>
      <c r="AE248" s="166">
        <v>0</v>
      </c>
      <c r="AF248" s="162"/>
      <c r="AG248" s="163"/>
      <c r="AH248" s="163"/>
      <c r="AI248" s="163"/>
      <c r="AJ248" s="163" t="str">
        <f>"        " &amp; TEXT(AE248,"#0.00%") &amp; "/" &amp; TEXT(AD248,"#0.00% ") &amp; "" &amp; "오류 수정" &amp; "(TFT)" &amp; " " &amp; IF(P248="","",TEXT(P248,"M/D-")) &amp; IF(Q248="","",TEXT(Q248,"M/D")) &amp; " "</f>
        <v xml:space="preserve">        0.00%/0.00% 오류 수정(TFT) 1/5-1/13 </v>
      </c>
      <c r="AK248" s="163"/>
    </row>
    <row r="249" spans="1:37" ht="12" customHeight="1" outlineLevel="3">
      <c r="A249" s="132"/>
      <c r="B249" s="132" t="s">
        <v>1363</v>
      </c>
      <c r="C249" s="132">
        <v>4</v>
      </c>
      <c r="D249" s="159" t="s">
        <v>2152</v>
      </c>
      <c r="E249" s="133"/>
      <c r="F249" s="133"/>
      <c r="G249" s="133"/>
      <c r="H249" s="133" t="s">
        <v>1612</v>
      </c>
      <c r="I249" s="133"/>
      <c r="J249" s="133"/>
      <c r="K249" s="133"/>
      <c r="L249" s="133"/>
      <c r="M249" s="133"/>
      <c r="N249" s="133"/>
      <c r="O249" s="133"/>
      <c r="P249" s="134">
        <v>44942</v>
      </c>
      <c r="Q249" s="134">
        <v>44949</v>
      </c>
      <c r="R249" s="133"/>
      <c r="S249" s="135">
        <v>6</v>
      </c>
      <c r="T249" s="135">
        <v>0</v>
      </c>
      <c r="U249" s="135">
        <v>6</v>
      </c>
      <c r="V249" s="135">
        <v>0</v>
      </c>
      <c r="W249" s="134"/>
      <c r="X249" s="134"/>
      <c r="Y249" s="136">
        <v>0</v>
      </c>
      <c r="Z249" s="137">
        <v>0</v>
      </c>
      <c r="AA249" s="135"/>
      <c r="AB249" s="209" t="s">
        <v>1777</v>
      </c>
      <c r="AC249" s="220"/>
      <c r="AD249" s="158">
        <v>0</v>
      </c>
      <c r="AE249" s="192">
        <v>0</v>
      </c>
      <c r="AF249" s="162"/>
      <c r="AG249" s="163"/>
      <c r="AH249" s="163"/>
      <c r="AI249" s="163"/>
      <c r="AJ249" s="163" t="str">
        <f>"                               " &amp; TEXT(AE249,"#0.00%") &amp; "/" &amp; TEXT(AD249,"#0.00% ") &amp; "" &amp; "통합테스트" &amp; "(TFT)" &amp; " " &amp; IF(P249="","",TEXT(P249,"M/D-")) &amp; IF(Q249="","",TEXT(Q249,"M/D")) &amp; " "</f>
        <v xml:space="preserve">                               0.00%/0.00% 통합테스트(TFT) 1/16-1/23 </v>
      </c>
      <c r="AK249" s="163"/>
    </row>
    <row r="250" spans="1:37" ht="12" customHeight="1" outlineLevel="4">
      <c r="A250" s="132"/>
      <c r="B250" s="132"/>
      <c r="C250" s="132">
        <v>5</v>
      </c>
      <c r="D250" s="159" t="s">
        <v>2153</v>
      </c>
      <c r="E250" s="133"/>
      <c r="F250" s="133"/>
      <c r="G250" s="133"/>
      <c r="H250" s="133"/>
      <c r="I250" s="133" t="s">
        <v>1612</v>
      </c>
      <c r="J250" s="133"/>
      <c r="K250" s="133"/>
      <c r="L250" s="133"/>
      <c r="M250" s="133"/>
      <c r="N250" s="133"/>
      <c r="O250" s="133"/>
      <c r="P250" s="134">
        <v>44942</v>
      </c>
      <c r="Q250" s="134">
        <v>44943</v>
      </c>
      <c r="R250" s="133"/>
      <c r="S250" s="135">
        <v>2</v>
      </c>
      <c r="T250" s="135">
        <v>0</v>
      </c>
      <c r="U250" s="135">
        <v>2</v>
      </c>
      <c r="V250" s="135">
        <v>0</v>
      </c>
      <c r="W250" s="134"/>
      <c r="X250" s="134"/>
      <c r="Y250" s="136">
        <v>0</v>
      </c>
      <c r="Z250" s="137">
        <v>0</v>
      </c>
      <c r="AA250" s="135"/>
      <c r="AB250" s="209" t="s">
        <v>1777</v>
      </c>
      <c r="AC250" s="220"/>
      <c r="AD250" s="158">
        <v>0</v>
      </c>
      <c r="AE250" s="166">
        <v>0</v>
      </c>
      <c r="AF250" s="162"/>
      <c r="AG250" s="163"/>
      <c r="AH250" s="163"/>
      <c r="AI250" s="163"/>
      <c r="AJ250" s="163" t="str">
        <f>"                               " &amp; TEXT(AE250,"#0.00%") &amp; "/" &amp; TEXT(AD250,"#0.00% ") &amp; "" &amp; "통합테스트" &amp; "(TFT)" &amp; " " &amp; IF(P250="","",TEXT(P250,"M/D-")) &amp; IF(Q250="","",TEXT(Q250,"M/D")) &amp; " "</f>
        <v xml:space="preserve">                               0.00%/0.00% 통합테스트(TFT) 1/16-1/17 </v>
      </c>
      <c r="AK250" s="163"/>
    </row>
    <row r="251" spans="1:37" ht="12" customHeight="1" outlineLevel="4">
      <c r="A251" s="132"/>
      <c r="B251" s="132"/>
      <c r="C251" s="132">
        <v>5</v>
      </c>
      <c r="D251" s="159" t="s">
        <v>2154</v>
      </c>
      <c r="E251" s="133"/>
      <c r="F251" s="133"/>
      <c r="G251" s="133"/>
      <c r="H251" s="133"/>
      <c r="I251" s="133" t="s">
        <v>1611</v>
      </c>
      <c r="J251" s="133"/>
      <c r="K251" s="133"/>
      <c r="L251" s="133"/>
      <c r="M251" s="133"/>
      <c r="N251" s="133"/>
      <c r="O251" s="133"/>
      <c r="P251" s="134">
        <v>44944</v>
      </c>
      <c r="Q251" s="134">
        <v>44949</v>
      </c>
      <c r="R251" s="133"/>
      <c r="S251" s="135">
        <v>4</v>
      </c>
      <c r="T251" s="135">
        <v>0</v>
      </c>
      <c r="U251" s="135">
        <v>4</v>
      </c>
      <c r="V251" s="135">
        <v>0</v>
      </c>
      <c r="W251" s="134"/>
      <c r="X251" s="134"/>
      <c r="Y251" s="136">
        <v>0</v>
      </c>
      <c r="Z251" s="137">
        <v>0</v>
      </c>
      <c r="AA251" s="135"/>
      <c r="AB251" s="209" t="s">
        <v>1777</v>
      </c>
      <c r="AC251" s="220"/>
      <c r="AD251" s="158">
        <v>0</v>
      </c>
      <c r="AE251" s="166">
        <v>0</v>
      </c>
      <c r="AF251" s="162"/>
      <c r="AG251" s="163"/>
      <c r="AH251" s="163"/>
      <c r="AI251" s="163"/>
      <c r="AJ251" s="163" t="str">
        <f>"                                   " &amp; TEXT(AE251,"#0.00%") &amp; "/" &amp; TEXT(AD251,"#0.00% ") &amp; "" &amp; "오류 수정" &amp; "(TFT)" &amp; " " &amp; IF(P251="","",TEXT(P251,"M/D-")) &amp; IF(Q251="","",TEXT(Q251,"M/D")) &amp; " "</f>
        <v xml:space="preserve">                                   0.00%/0.00% 오류 수정(TFT) 1/18-1/23 </v>
      </c>
      <c r="AK251" s="163"/>
    </row>
    <row r="252" spans="1:37" ht="12" customHeight="1" outlineLevel="2">
      <c r="A252" s="132"/>
      <c r="B252" s="132" t="s">
        <v>1363</v>
      </c>
      <c r="C252" s="132">
        <v>3</v>
      </c>
      <c r="D252" s="159" t="s">
        <v>2155</v>
      </c>
      <c r="E252" s="133"/>
      <c r="F252" s="133"/>
      <c r="G252" s="133" t="s">
        <v>1613</v>
      </c>
      <c r="H252" s="133"/>
      <c r="I252" s="133"/>
      <c r="J252" s="133"/>
      <c r="K252" s="133"/>
      <c r="L252" s="133"/>
      <c r="M252" s="133"/>
      <c r="N252" s="133"/>
      <c r="O252" s="133"/>
      <c r="P252" s="134">
        <v>44950</v>
      </c>
      <c r="Q252" s="134">
        <v>44957</v>
      </c>
      <c r="R252" s="133"/>
      <c r="S252" s="135">
        <v>12</v>
      </c>
      <c r="T252" s="135">
        <v>0</v>
      </c>
      <c r="U252" s="135">
        <v>6</v>
      </c>
      <c r="V252" s="135">
        <v>0</v>
      </c>
      <c r="W252" s="134"/>
      <c r="X252" s="134"/>
      <c r="Y252" s="136">
        <v>0</v>
      </c>
      <c r="Z252" s="137">
        <v>0</v>
      </c>
      <c r="AA252" s="135"/>
      <c r="AB252" s="209" t="s">
        <v>1777</v>
      </c>
      <c r="AC252" s="220"/>
      <c r="AD252" s="158">
        <v>0</v>
      </c>
      <c r="AE252" s="192">
        <v>0</v>
      </c>
      <c r="AF252" s="162"/>
      <c r="AG252" s="163"/>
      <c r="AH252" s="163"/>
      <c r="AI252" s="163"/>
      <c r="AJ252" s="163" t="str">
        <f>"                                               " &amp; TEXT(AE252,"#0.00%") &amp; "/" &amp; TEXT(AD252,"#0.00% ") &amp; "" &amp; "운영전환" &amp; "(TFT)" &amp; " " &amp; IF(P252="","",TEXT(P252,"M/D-")) &amp; IF(Q252="","",TEXT(Q252,"M/D")) &amp; " "</f>
        <v xml:space="preserve">                                               0.00%/0.00% 운영전환(TFT) 1/24-1/31 </v>
      </c>
      <c r="AK252" s="163"/>
    </row>
    <row r="253" spans="1:37" ht="12" customHeight="1" outlineLevel="3">
      <c r="A253" s="132"/>
      <c r="B253" s="132" t="s">
        <v>1363</v>
      </c>
      <c r="C253" s="132">
        <v>4</v>
      </c>
      <c r="D253" s="159" t="s">
        <v>2156</v>
      </c>
      <c r="E253" s="133"/>
      <c r="F253" s="133"/>
      <c r="G253" s="133"/>
      <c r="H253" s="133" t="s">
        <v>1614</v>
      </c>
      <c r="I253" s="133"/>
      <c r="J253" s="133"/>
      <c r="K253" s="133"/>
      <c r="L253" s="133"/>
      <c r="M253" s="133"/>
      <c r="N253" s="133"/>
      <c r="O253" s="133"/>
      <c r="P253" s="134">
        <v>44950</v>
      </c>
      <c r="Q253" s="134">
        <v>44957</v>
      </c>
      <c r="R253" s="133"/>
      <c r="S253" s="135">
        <v>6</v>
      </c>
      <c r="T253" s="135">
        <v>0</v>
      </c>
      <c r="U253" s="135">
        <v>6</v>
      </c>
      <c r="V253" s="135">
        <v>0</v>
      </c>
      <c r="W253" s="134"/>
      <c r="X253" s="134"/>
      <c r="Y253" s="136">
        <v>0</v>
      </c>
      <c r="Z253" s="137">
        <v>0</v>
      </c>
      <c r="AA253" s="135"/>
      <c r="AB253" s="209" t="s">
        <v>1777</v>
      </c>
      <c r="AC253" s="220"/>
      <c r="AD253" s="158">
        <v>0</v>
      </c>
      <c r="AE253" s="192">
        <v>0</v>
      </c>
      <c r="AF253" s="162"/>
      <c r="AG253" s="163"/>
      <c r="AH253" s="163"/>
      <c r="AI253" s="163"/>
      <c r="AJ253" s="163" t="str">
        <f>"                                               " &amp; TEXT(AE253,"#0.00%") &amp; "/" &amp; TEXT(AD253,"#0.00% ") &amp; "" &amp; "서비스오픈" &amp; "(TFT)" &amp; " " &amp; IF(P253="","",TEXT(P253,"M/D-")) &amp; IF(Q253="","",TEXT(Q253,"M/D")) &amp; " "</f>
        <v xml:space="preserve">                                               0.00%/0.00% 서비스오픈(TFT) 1/24-1/31 </v>
      </c>
      <c r="AK253" s="163"/>
    </row>
    <row r="254" spans="1:37" ht="12" customHeight="1" outlineLevel="4">
      <c r="A254" s="132"/>
      <c r="B254" s="132"/>
      <c r="C254" s="132">
        <v>5</v>
      </c>
      <c r="D254" s="159" t="s">
        <v>2157</v>
      </c>
      <c r="E254" s="133"/>
      <c r="F254" s="133"/>
      <c r="G254" s="133"/>
      <c r="H254" s="133"/>
      <c r="I254" s="133" t="s">
        <v>1615</v>
      </c>
      <c r="J254" s="133"/>
      <c r="K254" s="133"/>
      <c r="L254" s="133"/>
      <c r="M254" s="133"/>
      <c r="N254" s="133"/>
      <c r="O254" s="133"/>
      <c r="P254" s="134">
        <v>44950</v>
      </c>
      <c r="Q254" s="134">
        <v>44953</v>
      </c>
      <c r="R254" s="133"/>
      <c r="S254" s="135">
        <v>4</v>
      </c>
      <c r="T254" s="135">
        <v>0</v>
      </c>
      <c r="U254" s="135">
        <v>4</v>
      </c>
      <c r="V254" s="135">
        <v>0</v>
      </c>
      <c r="W254" s="134"/>
      <c r="X254" s="134"/>
      <c r="Y254" s="136">
        <v>0</v>
      </c>
      <c r="Z254" s="137">
        <v>0</v>
      </c>
      <c r="AA254" s="135"/>
      <c r="AB254" s="209" t="s">
        <v>1777</v>
      </c>
      <c r="AC254" s="220"/>
      <c r="AD254" s="158">
        <v>0</v>
      </c>
      <c r="AE254" s="166">
        <v>0</v>
      </c>
      <c r="AF254" s="162"/>
      <c r="AG254" s="163"/>
      <c r="AH254" s="163"/>
      <c r="AI254" s="163"/>
      <c r="AJ254" s="163" t="str">
        <f>"                                               " &amp; TEXT(AE254,"#0.00%") &amp; "/" &amp; TEXT(AD254,"#0.00% ") &amp; "" &amp; "데이터 등록" &amp; "(TFT)" &amp; " " &amp; IF(P254="","",TEXT(P254,"M/D-")) &amp; IF(Q254="","",TEXT(Q254,"M/D")) &amp; " "</f>
        <v xml:space="preserve">                                               0.00%/0.00% 데이터 등록(TFT) 1/24-1/27 </v>
      </c>
      <c r="AK254" s="163"/>
    </row>
    <row r="255" spans="1:37" ht="12" customHeight="1" outlineLevel="4">
      <c r="A255" s="132"/>
      <c r="B255" s="132"/>
      <c r="C255" s="132">
        <v>5</v>
      </c>
      <c r="D255" s="159" t="s">
        <v>2158</v>
      </c>
      <c r="E255" s="133"/>
      <c r="F255" s="133"/>
      <c r="G255" s="133"/>
      <c r="H255" s="133"/>
      <c r="I255" s="133" t="s">
        <v>1616</v>
      </c>
      <c r="J255" s="133"/>
      <c r="K255" s="133"/>
      <c r="L255" s="133"/>
      <c r="M255" s="133"/>
      <c r="N255" s="133"/>
      <c r="O255" s="133"/>
      <c r="P255" s="134">
        <v>44956</v>
      </c>
      <c r="Q255" s="134">
        <v>44957</v>
      </c>
      <c r="R255" s="133"/>
      <c r="S255" s="135">
        <v>2</v>
      </c>
      <c r="T255" s="135">
        <v>0</v>
      </c>
      <c r="U255" s="135">
        <v>2</v>
      </c>
      <c r="V255" s="135">
        <v>0</v>
      </c>
      <c r="W255" s="134"/>
      <c r="X255" s="134"/>
      <c r="Y255" s="136">
        <v>0</v>
      </c>
      <c r="Z255" s="137">
        <v>0</v>
      </c>
      <c r="AA255" s="135"/>
      <c r="AB255" s="209" t="s">
        <v>1777</v>
      </c>
      <c r="AC255" s="220"/>
      <c r="AD255" s="158">
        <v>0</v>
      </c>
      <c r="AE255" s="166">
        <v>0</v>
      </c>
      <c r="AF255" s="162"/>
      <c r="AG255" s="163"/>
      <c r="AH255" s="163"/>
      <c r="AI255" s="163"/>
      <c r="AJ255" s="163" t="str">
        <f>"                                                            " &amp; TEXT(AE255,"#0.00%") &amp; "/" &amp; TEXT(AD255,"#0.00% ") &amp; "" &amp; "서비스 오픈" &amp; "(TFT)" &amp; " " &amp; IF(P255="","",TEXT(P255,"M/D-")) &amp; IF(Q255="","",TEXT(Q255,"M/D")) &amp; " "</f>
        <v xml:space="preserve">                                                            0.00%/0.00% 서비스 오픈(TFT) 1/30-1/31 </v>
      </c>
      <c r="AK255" s="163"/>
    </row>
    <row r="256" spans="1:37" ht="12" customHeight="1" outlineLevel="3">
      <c r="A256" s="132"/>
      <c r="B256" s="132"/>
      <c r="C256" s="132">
        <v>4</v>
      </c>
      <c r="D256" s="159" t="s">
        <v>2159</v>
      </c>
      <c r="E256" s="133"/>
      <c r="F256" s="133"/>
      <c r="G256" s="133"/>
      <c r="H256" s="133" t="s">
        <v>1617</v>
      </c>
      <c r="I256" s="133"/>
      <c r="J256" s="133"/>
      <c r="K256" s="133"/>
      <c r="L256" s="133"/>
      <c r="M256" s="133"/>
      <c r="N256" s="133"/>
      <c r="O256" s="133"/>
      <c r="P256" s="134">
        <v>44950</v>
      </c>
      <c r="Q256" s="134">
        <v>44957</v>
      </c>
      <c r="R256" s="133"/>
      <c r="S256" s="135">
        <v>6</v>
      </c>
      <c r="T256" s="135">
        <v>0</v>
      </c>
      <c r="U256" s="135">
        <v>6</v>
      </c>
      <c r="V256" s="135">
        <v>0</v>
      </c>
      <c r="W256" s="134"/>
      <c r="X256" s="134"/>
      <c r="Y256" s="136">
        <v>0</v>
      </c>
      <c r="Z256" s="137">
        <v>0</v>
      </c>
      <c r="AA256" s="135"/>
      <c r="AB256" s="209" t="s">
        <v>1777</v>
      </c>
      <c r="AC256" s="220"/>
      <c r="AD256" s="158">
        <v>0</v>
      </c>
      <c r="AE256" s="166">
        <v>0</v>
      </c>
      <c r="AF256" s="162"/>
      <c r="AG256" s="163"/>
      <c r="AH256" s="163"/>
      <c r="AI256" s="163"/>
      <c r="AJ256" s="163" t="str">
        <f>"                                               " &amp; TEXT(AE256,"#0.00%") &amp; "/" &amp; TEXT(AD256,"#0.00% ") &amp; "" &amp; "인수인계" &amp; "(TFT)" &amp; " " &amp; IF(P256="","",TEXT(P256,"M/D-")) &amp; IF(Q256="","",TEXT(Q256,"M/D")) &amp; " "</f>
        <v xml:space="preserve">                                               0.00%/0.00% 인수인계(TFT) 1/24-1/31 </v>
      </c>
      <c r="AK256" s="163"/>
    </row>
    <row r="257" spans="1:37" ht="12" customHeight="1">
      <c r="A257" s="149"/>
      <c r="B257" s="149"/>
      <c r="C257" s="149"/>
      <c r="D257" s="150"/>
      <c r="E257" s="151"/>
      <c r="F257" s="151"/>
      <c r="G257" s="151"/>
      <c r="H257" s="151"/>
      <c r="I257" s="151"/>
      <c r="J257" s="151"/>
      <c r="K257" s="151"/>
      <c r="L257" s="151"/>
      <c r="M257" s="151"/>
      <c r="N257" s="151"/>
      <c r="O257" s="151"/>
      <c r="P257" s="152"/>
      <c r="Q257" s="152"/>
      <c r="R257" s="151"/>
      <c r="S257" s="153"/>
      <c r="T257" s="153"/>
      <c r="U257" s="153"/>
      <c r="V257" s="153"/>
      <c r="W257" s="152"/>
      <c r="X257" s="152"/>
      <c r="Y257" s="154"/>
      <c r="Z257" s="155"/>
      <c r="AA257" s="153"/>
      <c r="AB257" s="225"/>
      <c r="AC257" s="221"/>
      <c r="AD257" s="156"/>
      <c r="AE257" s="157"/>
      <c r="AF257" s="161"/>
      <c r="AG257" s="161"/>
      <c r="AH257" s="161"/>
      <c r="AI257" s="161"/>
      <c r="AJ257" s="161"/>
      <c r="AK257" s="161"/>
    </row>
  </sheetData>
  <sheetProtection formatCells="0" formatColumns="0" formatRows="0" insertColumns="0" insertRows="0" insertHyperlinks="0" deleteColumns="0" deleteRows="0" sort="0" autoFilter="0" pivotTables="0"/>
  <dataConsolidate/>
  <mergeCells count="23">
    <mergeCell ref="AC3:AC4"/>
    <mergeCell ref="AD3:AD4"/>
    <mergeCell ref="A3:A4"/>
    <mergeCell ref="B3:B4"/>
    <mergeCell ref="C3:C4"/>
    <mergeCell ref="D3:D4"/>
    <mergeCell ref="E3:N4"/>
    <mergeCell ref="AE3:AE4"/>
    <mergeCell ref="D2:F2"/>
    <mergeCell ref="AA3:AA4"/>
    <mergeCell ref="P3:P4"/>
    <mergeCell ref="Q3:Q4"/>
    <mergeCell ref="R3:R4"/>
    <mergeCell ref="S3:S4"/>
    <mergeCell ref="Y3:Y4"/>
    <mergeCell ref="Z3:Z4"/>
    <mergeCell ref="T3:T4"/>
    <mergeCell ref="U3:U4"/>
    <mergeCell ref="V3:V4"/>
    <mergeCell ref="W3:W4"/>
    <mergeCell ref="X3:X4"/>
    <mergeCell ref="O3:O4"/>
    <mergeCell ref="AB3:AB4"/>
  </mergeCells>
  <phoneticPr fontId="1" type="noConversion"/>
  <conditionalFormatting sqref="D5:AD256">
    <cfRule type="expression" dxfId="3" priority="3">
      <formula>($B5="G")</formula>
    </cfRule>
    <cfRule type="expression" dxfId="2" priority="2">
      <formula>($AE5=1)</formula>
    </cfRule>
  </conditionalFormatting>
  <conditionalFormatting sqref="W5:X256">
    <cfRule type="expression" dxfId="1" priority="1">
      <formula>($P5&amp;$Q5&lt;&gt;$W5&amp;$X5)</formula>
    </cfRule>
  </conditionalFormatting>
  <hyperlinks>
    <hyperlink ref="AF1:BJ1" r:id="rId1" display="https://xlworks.net/xlgantt-project-scheduler/" xr:uid="{00000000-0004-0000-0100-000000000000}"/>
  </hyperlinks>
  <pageMargins left="0.19685039370078741" right="0.23622047244094491" top="0.43307086614173229" bottom="0.23622047244094491" header="0.23622047244094491" footer="0.19685039370078741"/>
  <pageSetup paperSize="9" scale="18" orientation="landscape" r:id="rId2"/>
  <headerFooter alignWithMargins="0">
    <oddFooter>&amp;L&amp;"-,보통"&amp;9XLGantt ©http://xlworks.net&amp;C&amp;"-,보통"&amp;9&amp;P/&amp;N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tabColor rgb="FFFF6600"/>
    <pageSetUpPr fitToPage="1"/>
  </sheetPr>
  <dimension ref="A1:W30"/>
  <sheetViews>
    <sheetView showGridLines="0" zoomScaleNormal="100" workbookViewId="0">
      <pane ySplit="1" topLeftCell="A2" activePane="bottomLeft" state="frozenSplit"/>
      <selection pane="bottomLeft"/>
    </sheetView>
  </sheetViews>
  <sheetFormatPr baseColWidth="10" defaultColWidth="10" defaultRowHeight="15"/>
  <cols>
    <col min="1" max="1" width="35.33203125" style="57" customWidth="1"/>
    <col min="2" max="2" width="13.1640625" style="55" customWidth="1"/>
    <col min="3" max="3" width="9.83203125" style="59" customWidth="1"/>
    <col min="4" max="4" width="31.33203125" style="59" customWidth="1"/>
    <col min="5" max="6" width="14.1640625" style="59" customWidth="1"/>
    <col min="7" max="7" width="28.33203125" style="59" customWidth="1"/>
    <col min="8" max="9" width="10" style="59"/>
    <col min="10" max="10" width="8.8320312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7" customHeight="1">
      <c r="A1" s="1" t="s">
        <v>1489</v>
      </c>
      <c r="B1" s="2"/>
      <c r="C1" s="2"/>
      <c r="D1" s="2"/>
      <c r="E1" s="2"/>
      <c r="F1" s="2"/>
      <c r="G1" s="2"/>
      <c r="H1" s="2"/>
      <c r="I1" s="2"/>
      <c r="J1" s="2"/>
      <c r="K1" s="2"/>
      <c r="L1" s="272"/>
      <c r="M1" s="273"/>
      <c r="N1" s="273"/>
      <c r="O1" s="3"/>
      <c r="P1" s="3"/>
      <c r="Q1" s="3"/>
    </row>
    <row r="2" spans="1:17" s="7" customFormat="1" ht="14">
      <c r="A2" s="5" t="s">
        <v>1423</v>
      </c>
      <c r="B2" s="6"/>
    </row>
    <row r="3" spans="1:17" s="7" customFormat="1" ht="14">
      <c r="A3" s="5" t="s">
        <v>1424</v>
      </c>
      <c r="B3" s="6"/>
    </row>
    <row r="4" spans="1:17" s="7" customFormat="1" ht="14">
      <c r="A4" s="274"/>
      <c r="B4" s="274"/>
      <c r="C4" s="8"/>
      <c r="D4" s="9"/>
      <c r="E4" s="9"/>
      <c r="F4" s="9"/>
    </row>
    <row r="5" spans="1:17" s="15" customFormat="1" ht="14">
      <c r="A5" s="10"/>
      <c r="B5" s="11"/>
      <c r="C5" s="12"/>
      <c r="D5" s="13"/>
      <c r="E5" s="14"/>
      <c r="F5" s="14"/>
      <c r="G5" s="14"/>
    </row>
    <row r="6" spans="1:17" s="15" customFormat="1" ht="14">
      <c r="A6" s="16" t="s">
        <v>1425</v>
      </c>
      <c r="B6" s="17">
        <v>1620</v>
      </c>
      <c r="C6" s="15" t="s">
        <v>0</v>
      </c>
      <c r="D6" s="271" t="s">
        <v>1426</v>
      </c>
      <c r="E6" s="271"/>
      <c r="F6" s="271"/>
      <c r="G6" s="271"/>
    </row>
    <row r="7" spans="1:17" s="15" customFormat="1" ht="14">
      <c r="A7" s="18"/>
      <c r="B7" s="19"/>
      <c r="C7" s="20"/>
      <c r="D7" s="21"/>
      <c r="E7" s="21"/>
      <c r="F7" s="21"/>
      <c r="G7" s="21"/>
    </row>
    <row r="8" spans="1:17" s="15" customFormat="1" ht="12.75" customHeight="1">
      <c r="A8" s="22"/>
      <c r="B8" s="23"/>
      <c r="D8" s="24"/>
      <c r="E8" s="24"/>
      <c r="F8" s="24"/>
      <c r="G8" s="24"/>
      <c r="J8" s="25"/>
    </row>
    <row r="9" spans="1:17" s="15" customFormat="1" ht="14">
      <c r="A9" s="16" t="s">
        <v>1427</v>
      </c>
      <c r="B9" s="17">
        <v>836</v>
      </c>
      <c r="C9" s="15" t="s">
        <v>0</v>
      </c>
      <c r="D9" s="270" t="s">
        <v>1428</v>
      </c>
      <c r="E9" s="270"/>
      <c r="F9" s="270"/>
      <c r="G9" s="270"/>
    </row>
    <row r="10" spans="1:17" s="15" customFormat="1" ht="14">
      <c r="A10" s="26"/>
      <c r="B10" s="19"/>
      <c r="C10" s="20"/>
      <c r="D10" s="27"/>
      <c r="E10" s="27"/>
      <c r="F10" s="27"/>
      <c r="G10" s="27"/>
    </row>
    <row r="11" spans="1:17" s="15" customFormat="1" ht="13.5" customHeight="1">
      <c r="A11" s="28"/>
      <c r="B11" s="23"/>
      <c r="D11" s="24"/>
      <c r="E11" s="24"/>
      <c r="F11" s="24"/>
      <c r="G11" s="24"/>
    </row>
    <row r="12" spans="1:17" s="15" customFormat="1" ht="12.75" customHeight="1">
      <c r="A12" s="29" t="s">
        <v>1897</v>
      </c>
      <c r="B12" s="17">
        <v>704.01299999999992</v>
      </c>
      <c r="C12" s="15" t="s">
        <v>0</v>
      </c>
      <c r="D12" s="275" t="s">
        <v>1898</v>
      </c>
      <c r="E12" s="270"/>
      <c r="F12" s="270"/>
      <c r="G12" s="270"/>
    </row>
    <row r="13" spans="1:17" s="32" customFormat="1" ht="14">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1429</v>
      </c>
      <c r="B15" s="17">
        <v>725.01299999999992</v>
      </c>
      <c r="C15" s="15" t="s">
        <v>0</v>
      </c>
      <c r="D15" s="270" t="s">
        <v>1430</v>
      </c>
      <c r="E15" s="270"/>
      <c r="F15" s="270"/>
      <c r="G15" s="270"/>
    </row>
    <row r="16" spans="1:17" s="15" customFormat="1" ht="14">
      <c r="A16" s="30"/>
      <c r="B16" s="36"/>
      <c r="C16" s="37"/>
      <c r="D16" s="27"/>
      <c r="E16" s="27"/>
      <c r="F16" s="27"/>
      <c r="G16" s="27"/>
    </row>
    <row r="17" spans="1:7" s="32" customFormat="1" ht="12.75" customHeight="1">
      <c r="A17" s="38"/>
      <c r="B17" s="34"/>
      <c r="C17" s="35"/>
      <c r="D17" s="24"/>
      <c r="E17" s="24"/>
      <c r="F17" s="24"/>
      <c r="G17" s="24"/>
    </row>
    <row r="18" spans="1:7" s="15" customFormat="1" ht="14">
      <c r="A18" s="16" t="s">
        <v>1431</v>
      </c>
      <c r="B18" s="39">
        <v>0.51604938271604939</v>
      </c>
      <c r="D18" s="270" t="s">
        <v>1432</v>
      </c>
      <c r="E18" s="270"/>
      <c r="F18" s="270"/>
      <c r="G18" s="270"/>
    </row>
    <row r="19" spans="1:7" s="15" customFormat="1" ht="14">
      <c r="A19" s="40"/>
      <c r="B19" s="36"/>
      <c r="C19" s="37"/>
      <c r="D19" s="27"/>
      <c r="E19" s="27"/>
      <c r="F19" s="27"/>
      <c r="G19" s="27"/>
    </row>
    <row r="20" spans="1:7" s="15" customFormat="1" ht="12.75" customHeight="1">
      <c r="A20" s="41"/>
      <c r="B20" s="11"/>
      <c r="C20" s="12"/>
      <c r="D20" s="24"/>
      <c r="E20" s="24"/>
      <c r="F20" s="24"/>
      <c r="G20" s="24"/>
    </row>
    <row r="21" spans="1:7" s="15" customFormat="1" ht="14">
      <c r="A21" s="16" t="s">
        <v>1433</v>
      </c>
      <c r="B21" s="39">
        <v>0.43457592592592587</v>
      </c>
      <c r="D21" s="270" t="s">
        <v>1434</v>
      </c>
      <c r="E21" s="270"/>
      <c r="F21" s="270"/>
      <c r="G21" s="270"/>
    </row>
    <row r="22" spans="1:7" s="15" customFormat="1" ht="14">
      <c r="A22" s="42"/>
      <c r="B22" s="43"/>
      <c r="C22" s="44"/>
      <c r="D22" s="27"/>
      <c r="E22" s="27"/>
      <c r="F22" s="27"/>
      <c r="G22" s="27"/>
    </row>
    <row r="23" spans="1:7" s="15" customFormat="1" ht="13.5" customHeight="1">
      <c r="A23" s="45"/>
      <c r="B23" s="46"/>
      <c r="C23" s="47"/>
      <c r="D23" s="48"/>
      <c r="E23" s="48"/>
      <c r="F23" s="48"/>
      <c r="G23" s="48"/>
    </row>
    <row r="24" spans="1:7" s="15" customFormat="1" ht="14">
      <c r="A24" s="16" t="s">
        <v>1435</v>
      </c>
      <c r="B24" s="49">
        <f>ACTUAL_RATE-PLANNED_RATE</f>
        <v>-8.1473456790123522E-2</v>
      </c>
      <c r="D24" s="271" t="s">
        <v>1436</v>
      </c>
      <c r="E24" s="271"/>
      <c r="F24" s="271"/>
      <c r="G24" s="271"/>
    </row>
    <row r="25" spans="1:7" s="15" customFormat="1" ht="14">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1" type="noConversion"/>
  <conditionalFormatting sqref="J1">
    <cfRule type="expression" dxfId="0"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198CFF"/>
  </sheetPr>
  <dimension ref="A1:O136"/>
  <sheetViews>
    <sheetView showGridLines="0" zoomScale="80" zoomScaleNormal="80" workbookViewId="0">
      <pane ySplit="6" topLeftCell="A94" activePane="bottomLeft" state="frozen"/>
      <selection pane="bottomLeft" activeCell="A27" sqref="A27"/>
    </sheetView>
  </sheetViews>
  <sheetFormatPr baseColWidth="10" defaultColWidth="9.1640625" defaultRowHeight="15" outlineLevelRow="2"/>
  <cols>
    <col min="1" max="1" width="20.6640625" style="73" customWidth="1"/>
    <col min="2" max="2" width="15.6640625" style="73" bestFit="1" customWidth="1"/>
    <col min="3" max="3" width="20.6640625" style="73" bestFit="1" customWidth="1"/>
    <col min="4" max="5" width="9.83203125" style="73" bestFit="1" customWidth="1"/>
    <col min="6" max="6" width="11" style="193" bestFit="1" customWidth="1"/>
    <col min="7" max="7" width="9" style="73" bestFit="1" customWidth="1"/>
    <col min="8" max="8" width="11" style="73" bestFit="1" customWidth="1"/>
    <col min="9" max="9" width="11.1640625" style="73" bestFit="1" customWidth="1"/>
    <col min="10" max="11" width="9.33203125" style="73" bestFit="1" customWidth="1"/>
    <col min="12" max="12" width="10.1640625" style="73" bestFit="1" customWidth="1"/>
    <col min="13" max="14" width="11" style="73" bestFit="1" customWidth="1"/>
    <col min="15" max="15" width="11.33203125" style="73" bestFit="1" customWidth="1"/>
    <col min="16" max="16384" width="9.1640625" style="73"/>
  </cols>
  <sheetData>
    <row r="1" spans="1:15" ht="37" customHeight="1">
      <c r="A1" s="1" t="s">
        <v>1472</v>
      </c>
    </row>
    <row r="2" spans="1:15">
      <c r="A2" s="73" t="s">
        <v>1473</v>
      </c>
    </row>
    <row r="3" spans="1:15">
      <c r="A3" s="73" t="s">
        <v>1474</v>
      </c>
    </row>
    <row r="6" spans="1:15" ht="48">
      <c r="A6" s="62" t="s">
        <v>1467</v>
      </c>
      <c r="B6" s="72" t="s">
        <v>295</v>
      </c>
      <c r="C6" s="72" t="s">
        <v>1475</v>
      </c>
      <c r="D6" s="72" t="s">
        <v>1437</v>
      </c>
      <c r="E6" s="72" t="s">
        <v>1438</v>
      </c>
      <c r="F6" s="195" t="s">
        <v>1476</v>
      </c>
      <c r="G6" s="72" t="s">
        <v>1477</v>
      </c>
      <c r="H6" s="72" t="s">
        <v>1478</v>
      </c>
      <c r="I6" s="72" t="s">
        <v>1479</v>
      </c>
      <c r="J6" s="72" t="s">
        <v>1480</v>
      </c>
      <c r="K6" s="72" t="s">
        <v>1481</v>
      </c>
      <c r="L6" s="72" t="s">
        <v>1482</v>
      </c>
      <c r="M6" s="72" t="s">
        <v>1483</v>
      </c>
      <c r="N6" s="72" t="s">
        <v>1484</v>
      </c>
      <c r="O6" s="196" t="s">
        <v>1485</v>
      </c>
    </row>
    <row r="7" spans="1:15" outlineLevel="2">
      <c r="A7" s="197" t="s">
        <v>1777</v>
      </c>
      <c r="B7" s="198" t="s">
        <v>1762</v>
      </c>
      <c r="C7" s="197" t="s">
        <v>1610</v>
      </c>
      <c r="D7" s="63">
        <v>44928</v>
      </c>
      <c r="E7" s="63">
        <v>44930</v>
      </c>
      <c r="F7" s="193">
        <v>1</v>
      </c>
      <c r="G7" s="73">
        <v>3</v>
      </c>
      <c r="H7" s="73">
        <v>0</v>
      </c>
      <c r="I7" s="73">
        <v>0</v>
      </c>
      <c r="J7" s="193">
        <v>0</v>
      </c>
      <c r="K7" s="193">
        <v>0</v>
      </c>
      <c r="L7" s="193">
        <f t="shared" ref="L7:L38" si="0">K7-J7</f>
        <v>0</v>
      </c>
      <c r="O7" s="73">
        <v>0</v>
      </c>
    </row>
    <row r="8" spans="1:15" outlineLevel="2">
      <c r="A8" s="197" t="s">
        <v>1777</v>
      </c>
      <c r="B8" s="198" t="s">
        <v>1763</v>
      </c>
      <c r="C8" s="197" t="s">
        <v>1611</v>
      </c>
      <c r="D8" s="63">
        <v>44931</v>
      </c>
      <c r="E8" s="63">
        <v>44939</v>
      </c>
      <c r="F8" s="193">
        <v>1</v>
      </c>
      <c r="G8" s="73">
        <v>7</v>
      </c>
      <c r="H8" s="73">
        <v>0</v>
      </c>
      <c r="I8" s="73">
        <v>0</v>
      </c>
      <c r="J8" s="193">
        <v>0</v>
      </c>
      <c r="K8" s="193">
        <v>0</v>
      </c>
      <c r="L8" s="193">
        <f t="shared" si="0"/>
        <v>0</v>
      </c>
      <c r="O8" s="73">
        <v>0</v>
      </c>
    </row>
    <row r="9" spans="1:15" outlineLevel="2">
      <c r="A9" s="197" t="s">
        <v>1777</v>
      </c>
      <c r="B9" s="198" t="s">
        <v>1765</v>
      </c>
      <c r="C9" s="197" t="s">
        <v>1612</v>
      </c>
      <c r="D9" s="63">
        <v>44942</v>
      </c>
      <c r="E9" s="63">
        <v>44943</v>
      </c>
      <c r="F9" s="193">
        <v>1</v>
      </c>
      <c r="G9" s="73">
        <v>2</v>
      </c>
      <c r="H9" s="73">
        <v>0</v>
      </c>
      <c r="I9" s="73">
        <v>0</v>
      </c>
      <c r="J9" s="193">
        <v>0</v>
      </c>
      <c r="K9" s="193">
        <v>0</v>
      </c>
      <c r="L9" s="193">
        <f t="shared" si="0"/>
        <v>0</v>
      </c>
      <c r="O9" s="73">
        <v>0</v>
      </c>
    </row>
    <row r="10" spans="1:15" outlineLevel="2">
      <c r="A10" s="197" t="s">
        <v>1777</v>
      </c>
      <c r="B10" s="198" t="s">
        <v>1766</v>
      </c>
      <c r="C10" s="197" t="s">
        <v>1611</v>
      </c>
      <c r="D10" s="63">
        <v>44944</v>
      </c>
      <c r="E10" s="63">
        <v>44949</v>
      </c>
      <c r="F10" s="193">
        <v>1</v>
      </c>
      <c r="G10" s="73">
        <v>4</v>
      </c>
      <c r="H10" s="73">
        <v>0</v>
      </c>
      <c r="I10" s="73">
        <v>0</v>
      </c>
      <c r="J10" s="193">
        <v>0</v>
      </c>
      <c r="K10" s="193">
        <v>0</v>
      </c>
      <c r="L10" s="193">
        <f t="shared" si="0"/>
        <v>0</v>
      </c>
      <c r="O10" s="73">
        <v>0</v>
      </c>
    </row>
    <row r="11" spans="1:15" outlineLevel="2">
      <c r="A11" s="197" t="s">
        <v>1777</v>
      </c>
      <c r="B11" s="198" t="s">
        <v>1769</v>
      </c>
      <c r="C11" s="197" t="s">
        <v>1615</v>
      </c>
      <c r="D11" s="63">
        <v>44950</v>
      </c>
      <c r="E11" s="63">
        <v>44953</v>
      </c>
      <c r="F11" s="193">
        <v>1</v>
      </c>
      <c r="G11" s="73">
        <v>4</v>
      </c>
      <c r="H11" s="73">
        <v>0</v>
      </c>
      <c r="I11" s="73">
        <v>0</v>
      </c>
      <c r="J11" s="193">
        <v>0</v>
      </c>
      <c r="K11" s="193">
        <v>0</v>
      </c>
      <c r="L11" s="193">
        <f t="shared" si="0"/>
        <v>0</v>
      </c>
      <c r="O11" s="73">
        <v>0</v>
      </c>
    </row>
    <row r="12" spans="1:15" outlineLevel="2">
      <c r="A12" s="197" t="s">
        <v>1777</v>
      </c>
      <c r="B12" s="198" t="s">
        <v>1770</v>
      </c>
      <c r="C12" s="197" t="s">
        <v>1616</v>
      </c>
      <c r="D12" s="63">
        <v>44956</v>
      </c>
      <c r="E12" s="63">
        <v>44957</v>
      </c>
      <c r="F12" s="193">
        <v>1</v>
      </c>
      <c r="G12" s="73">
        <v>2</v>
      </c>
      <c r="H12" s="73">
        <v>0</v>
      </c>
      <c r="I12" s="73">
        <v>0</v>
      </c>
      <c r="J12" s="193">
        <v>0</v>
      </c>
      <c r="K12" s="193">
        <v>0</v>
      </c>
      <c r="L12" s="193">
        <f t="shared" si="0"/>
        <v>0</v>
      </c>
      <c r="O12" s="73">
        <v>0</v>
      </c>
    </row>
    <row r="13" spans="1:15" outlineLevel="2">
      <c r="A13" s="197" t="s">
        <v>1777</v>
      </c>
      <c r="B13" s="198" t="s">
        <v>1771</v>
      </c>
      <c r="C13" s="197" t="s">
        <v>1617</v>
      </c>
      <c r="D13" s="63">
        <v>44950</v>
      </c>
      <c r="E13" s="63">
        <v>44957</v>
      </c>
      <c r="F13" s="193">
        <v>1</v>
      </c>
      <c r="G13" s="73">
        <v>6</v>
      </c>
      <c r="H13" s="73">
        <v>0</v>
      </c>
      <c r="I13" s="73">
        <v>0</v>
      </c>
      <c r="J13" s="193">
        <v>0</v>
      </c>
      <c r="K13" s="193">
        <v>0</v>
      </c>
      <c r="L13" s="193">
        <f t="shared" si="0"/>
        <v>0</v>
      </c>
      <c r="O13" s="73">
        <v>0</v>
      </c>
    </row>
    <row r="14" spans="1:15" outlineLevel="1">
      <c r="A14" s="199" t="s">
        <v>1778</v>
      </c>
      <c r="B14" s="200"/>
      <c r="C14" s="201"/>
      <c r="D14" s="202"/>
      <c r="E14" s="202"/>
      <c r="F14" s="203"/>
      <c r="G14" s="204">
        <f>SUBTOTAL(9,G7:G13)</f>
        <v>28</v>
      </c>
      <c r="H14" s="204">
        <f>SUBTOTAL(9,H7:H13)</f>
        <v>0</v>
      </c>
      <c r="I14" s="204">
        <f>SUBTOTAL(9,I7:I13)</f>
        <v>0</v>
      </c>
      <c r="J14" s="203">
        <f>H14/G14</f>
        <v>0</v>
      </c>
      <c r="K14" s="203">
        <f>I14/G14</f>
        <v>0</v>
      </c>
      <c r="L14" s="203">
        <f t="shared" si="0"/>
        <v>0</v>
      </c>
      <c r="M14" s="204"/>
      <c r="N14" s="204"/>
      <c r="O14" s="204">
        <f>SUBTOTAL(9,O7:O13)</f>
        <v>0</v>
      </c>
    </row>
    <row r="15" spans="1:15" outlineLevel="2">
      <c r="A15" s="197" t="s">
        <v>1621</v>
      </c>
      <c r="B15" s="198" t="s">
        <v>1640</v>
      </c>
      <c r="C15" s="197" t="s">
        <v>1518</v>
      </c>
      <c r="D15" s="63">
        <v>44830</v>
      </c>
      <c r="E15" s="63">
        <v>44830</v>
      </c>
      <c r="F15" s="193">
        <v>1</v>
      </c>
      <c r="G15" s="73">
        <v>1</v>
      </c>
      <c r="H15" s="73">
        <v>1</v>
      </c>
      <c r="I15" s="73">
        <v>1</v>
      </c>
      <c r="J15" s="193">
        <v>1</v>
      </c>
      <c r="K15" s="193">
        <v>1</v>
      </c>
      <c r="L15" s="193">
        <f t="shared" si="0"/>
        <v>0</v>
      </c>
      <c r="M15" s="63">
        <v>44830</v>
      </c>
      <c r="N15" s="63">
        <v>44830</v>
      </c>
      <c r="O15" s="73">
        <v>1</v>
      </c>
    </row>
    <row r="16" spans="1:15" outlineLevel="2">
      <c r="A16" s="197" t="s">
        <v>1621</v>
      </c>
      <c r="B16" s="198" t="s">
        <v>1641</v>
      </c>
      <c r="C16" s="197" t="s">
        <v>1519</v>
      </c>
      <c r="D16" s="63">
        <v>44831</v>
      </c>
      <c r="E16" s="63">
        <v>44832</v>
      </c>
      <c r="F16" s="193">
        <v>1</v>
      </c>
      <c r="G16" s="73">
        <v>2</v>
      </c>
      <c r="H16" s="73">
        <v>2</v>
      </c>
      <c r="I16" s="73">
        <v>2</v>
      </c>
      <c r="J16" s="193">
        <v>1</v>
      </c>
      <c r="K16" s="193">
        <v>1</v>
      </c>
      <c r="L16" s="193">
        <f t="shared" si="0"/>
        <v>0</v>
      </c>
      <c r="M16" s="63">
        <v>44831</v>
      </c>
      <c r="N16" s="63">
        <v>44832</v>
      </c>
      <c r="O16" s="73">
        <v>2</v>
      </c>
    </row>
    <row r="17" spans="1:15" outlineLevel="2">
      <c r="A17" s="197" t="s">
        <v>1621</v>
      </c>
      <c r="B17" s="198" t="s">
        <v>1642</v>
      </c>
      <c r="C17" s="197" t="s">
        <v>1520</v>
      </c>
      <c r="D17" s="63">
        <v>44833</v>
      </c>
      <c r="E17" s="63">
        <v>44848</v>
      </c>
      <c r="F17" s="193">
        <v>1</v>
      </c>
      <c r="G17" s="73">
        <v>10</v>
      </c>
      <c r="H17" s="73">
        <v>10</v>
      </c>
      <c r="I17" s="73">
        <v>0</v>
      </c>
      <c r="J17" s="193">
        <v>1</v>
      </c>
      <c r="K17" s="193">
        <v>0</v>
      </c>
      <c r="L17" s="205">
        <f t="shared" si="0"/>
        <v>-1</v>
      </c>
      <c r="O17" s="73">
        <v>0</v>
      </c>
    </row>
    <row r="18" spans="1:15" outlineLevel="2">
      <c r="A18" s="197" t="s">
        <v>1621</v>
      </c>
      <c r="B18" s="198" t="s">
        <v>1643</v>
      </c>
      <c r="C18" s="197" t="s">
        <v>1521</v>
      </c>
      <c r="D18" s="63">
        <v>44851</v>
      </c>
      <c r="E18" s="63">
        <v>44852</v>
      </c>
      <c r="F18" s="193">
        <v>1</v>
      </c>
      <c r="G18" s="73">
        <v>2</v>
      </c>
      <c r="H18" s="73">
        <v>0</v>
      </c>
      <c r="I18" s="73">
        <v>0</v>
      </c>
      <c r="J18" s="193">
        <v>0</v>
      </c>
      <c r="K18" s="193">
        <v>0</v>
      </c>
      <c r="L18" s="193">
        <f t="shared" si="0"/>
        <v>0</v>
      </c>
      <c r="O18" s="73">
        <v>0</v>
      </c>
    </row>
    <row r="19" spans="1:15" outlineLevel="1">
      <c r="A19" s="199" t="s">
        <v>1779</v>
      </c>
      <c r="B19" s="200"/>
      <c r="C19" s="201"/>
      <c r="D19" s="202"/>
      <c r="E19" s="202"/>
      <c r="F19" s="203"/>
      <c r="G19" s="204">
        <f>SUBTOTAL(9,G15:G18)</f>
        <v>15</v>
      </c>
      <c r="H19" s="204">
        <f>SUBTOTAL(9,H15:H18)</f>
        <v>13</v>
      </c>
      <c r="I19" s="204">
        <f>SUBTOTAL(9,I15:I18)</f>
        <v>3</v>
      </c>
      <c r="J19" s="203">
        <f>H19/G19</f>
        <v>0.8666666666666667</v>
      </c>
      <c r="K19" s="203">
        <f>I19/G19</f>
        <v>0.2</v>
      </c>
      <c r="L19" s="206">
        <f t="shared" si="0"/>
        <v>-0.66666666666666674</v>
      </c>
      <c r="M19" s="204"/>
      <c r="N19" s="204"/>
      <c r="O19" s="204">
        <f>SUBTOTAL(9,O15:O18)</f>
        <v>3</v>
      </c>
    </row>
    <row r="20" spans="1:15" outlineLevel="2">
      <c r="A20" s="197" t="s">
        <v>1776</v>
      </c>
      <c r="B20" s="198" t="s">
        <v>1753</v>
      </c>
      <c r="C20" s="197" t="s">
        <v>1603</v>
      </c>
      <c r="D20" s="63">
        <v>44890</v>
      </c>
      <c r="E20" s="63">
        <v>44894</v>
      </c>
      <c r="F20" s="193">
        <v>1</v>
      </c>
      <c r="G20" s="73">
        <v>3</v>
      </c>
      <c r="H20" s="73">
        <v>0</v>
      </c>
      <c r="I20" s="73">
        <v>0</v>
      </c>
      <c r="J20" s="193">
        <v>0</v>
      </c>
      <c r="K20" s="193">
        <v>0</v>
      </c>
      <c r="L20" s="193">
        <f t="shared" si="0"/>
        <v>0</v>
      </c>
      <c r="O20" s="73">
        <v>0</v>
      </c>
    </row>
    <row r="21" spans="1:15" outlineLevel="2">
      <c r="A21" s="197" t="s">
        <v>1776</v>
      </c>
      <c r="B21" s="198" t="s">
        <v>1754</v>
      </c>
      <c r="C21" s="197" t="s">
        <v>1576</v>
      </c>
      <c r="D21" s="63">
        <v>44895</v>
      </c>
      <c r="E21" s="63">
        <v>44895</v>
      </c>
      <c r="F21" s="193">
        <v>1</v>
      </c>
      <c r="G21" s="73">
        <v>1</v>
      </c>
      <c r="H21" s="73">
        <v>0</v>
      </c>
      <c r="I21" s="73">
        <v>0</v>
      </c>
      <c r="J21" s="193">
        <v>0</v>
      </c>
      <c r="K21" s="193">
        <v>0</v>
      </c>
      <c r="L21" s="193">
        <f t="shared" si="0"/>
        <v>0</v>
      </c>
      <c r="O21" s="73">
        <v>0</v>
      </c>
    </row>
    <row r="22" spans="1:15" outlineLevel="2">
      <c r="A22" s="197" t="s">
        <v>1776</v>
      </c>
      <c r="B22" s="198" t="s">
        <v>1755</v>
      </c>
      <c r="C22" s="197" t="s">
        <v>1604</v>
      </c>
      <c r="D22" s="63">
        <v>44896</v>
      </c>
      <c r="E22" s="63">
        <v>44909</v>
      </c>
      <c r="F22" s="193">
        <v>1</v>
      </c>
      <c r="G22" s="73">
        <v>10</v>
      </c>
      <c r="H22" s="73">
        <v>0</v>
      </c>
      <c r="I22" s="73">
        <v>0</v>
      </c>
      <c r="J22" s="193">
        <v>0</v>
      </c>
      <c r="K22" s="193">
        <v>0</v>
      </c>
      <c r="L22" s="193">
        <f t="shared" si="0"/>
        <v>0</v>
      </c>
      <c r="O22" s="73">
        <v>0</v>
      </c>
    </row>
    <row r="23" spans="1:15" outlineLevel="2">
      <c r="A23" s="197" t="s">
        <v>1776</v>
      </c>
      <c r="B23" s="198" t="s">
        <v>1756</v>
      </c>
      <c r="C23" s="197" t="s">
        <v>1605</v>
      </c>
      <c r="D23" s="63">
        <v>44910</v>
      </c>
      <c r="E23" s="63">
        <v>44918</v>
      </c>
      <c r="F23" s="193">
        <v>1</v>
      </c>
      <c r="G23" s="73">
        <v>7</v>
      </c>
      <c r="H23" s="73">
        <v>0</v>
      </c>
      <c r="I23" s="73">
        <v>0</v>
      </c>
      <c r="J23" s="193">
        <v>0</v>
      </c>
      <c r="K23" s="193">
        <v>0</v>
      </c>
      <c r="L23" s="193">
        <f t="shared" si="0"/>
        <v>0</v>
      </c>
      <c r="O23" s="73">
        <v>0</v>
      </c>
    </row>
    <row r="24" spans="1:15" outlineLevel="2">
      <c r="A24" s="197" t="s">
        <v>1776</v>
      </c>
      <c r="B24" s="198" t="s">
        <v>1758</v>
      </c>
      <c r="C24" s="197" t="s">
        <v>1607</v>
      </c>
      <c r="D24" s="63">
        <v>44922</v>
      </c>
      <c r="E24" s="63">
        <v>44923</v>
      </c>
      <c r="F24" s="193">
        <v>1</v>
      </c>
      <c r="G24" s="73">
        <v>2</v>
      </c>
      <c r="H24" s="73">
        <v>0</v>
      </c>
      <c r="I24" s="73">
        <v>0</v>
      </c>
      <c r="J24" s="193">
        <v>0</v>
      </c>
      <c r="K24" s="193">
        <v>0</v>
      </c>
      <c r="L24" s="193">
        <f t="shared" si="0"/>
        <v>0</v>
      </c>
      <c r="O24" s="73">
        <v>0</v>
      </c>
    </row>
    <row r="25" spans="1:15" outlineLevel="2">
      <c r="A25" s="197" t="s">
        <v>1776</v>
      </c>
      <c r="B25" s="198" t="s">
        <v>1759</v>
      </c>
      <c r="C25" s="197" t="s">
        <v>1608</v>
      </c>
      <c r="D25" s="63">
        <v>44924</v>
      </c>
      <c r="E25" s="63">
        <v>44925</v>
      </c>
      <c r="F25" s="193">
        <v>1</v>
      </c>
      <c r="G25" s="73">
        <v>2</v>
      </c>
      <c r="H25" s="73">
        <v>0</v>
      </c>
      <c r="I25" s="73">
        <v>0</v>
      </c>
      <c r="J25" s="193">
        <v>0</v>
      </c>
      <c r="K25" s="193">
        <v>0</v>
      </c>
      <c r="L25" s="193">
        <f t="shared" si="0"/>
        <v>0</v>
      </c>
      <c r="O25" s="73">
        <v>0</v>
      </c>
    </row>
    <row r="26" spans="1:15" outlineLevel="2">
      <c r="A26" s="197" t="s">
        <v>1776</v>
      </c>
      <c r="B26" s="198" t="s">
        <v>1740</v>
      </c>
      <c r="C26" s="197" t="s">
        <v>1596</v>
      </c>
      <c r="D26" s="63">
        <v>44840</v>
      </c>
      <c r="E26" s="63">
        <v>44854</v>
      </c>
      <c r="F26" s="193">
        <v>1</v>
      </c>
      <c r="G26" s="73">
        <v>10</v>
      </c>
      <c r="H26" s="73">
        <v>6</v>
      </c>
      <c r="I26" s="73">
        <v>0</v>
      </c>
      <c r="J26" s="193">
        <v>0.6</v>
      </c>
      <c r="K26" s="193">
        <v>0</v>
      </c>
      <c r="L26" s="205">
        <f t="shared" si="0"/>
        <v>-0.6</v>
      </c>
      <c r="O26" s="73">
        <v>0</v>
      </c>
    </row>
    <row r="27" spans="1:15" outlineLevel="2">
      <c r="A27" s="197" t="s">
        <v>1776</v>
      </c>
      <c r="B27" s="198" t="s">
        <v>1741</v>
      </c>
      <c r="C27" s="197" t="s">
        <v>1597</v>
      </c>
      <c r="D27" s="63">
        <v>44855</v>
      </c>
      <c r="E27" s="63">
        <v>44861</v>
      </c>
      <c r="F27" s="193">
        <v>1</v>
      </c>
      <c r="G27" s="73">
        <v>5</v>
      </c>
      <c r="H27" s="73">
        <v>0</v>
      </c>
      <c r="I27" s="73">
        <v>0</v>
      </c>
      <c r="J27" s="193">
        <v>0</v>
      </c>
      <c r="K27" s="193">
        <v>0</v>
      </c>
      <c r="L27" s="193">
        <f t="shared" si="0"/>
        <v>0</v>
      </c>
      <c r="O27" s="73">
        <v>0</v>
      </c>
    </row>
    <row r="28" spans="1:15" outlineLevel="2">
      <c r="A28" s="197" t="s">
        <v>1776</v>
      </c>
      <c r="B28" s="198" t="s">
        <v>1742</v>
      </c>
      <c r="C28" s="197" t="s">
        <v>1598</v>
      </c>
      <c r="D28" s="63">
        <v>44862</v>
      </c>
      <c r="E28" s="63">
        <v>44862</v>
      </c>
      <c r="F28" s="193">
        <v>1</v>
      </c>
      <c r="G28" s="73">
        <v>1</v>
      </c>
      <c r="H28" s="73">
        <v>0</v>
      </c>
      <c r="I28" s="73">
        <v>0</v>
      </c>
      <c r="J28" s="193">
        <v>0</v>
      </c>
      <c r="K28" s="193">
        <v>0</v>
      </c>
      <c r="L28" s="193">
        <f t="shared" si="0"/>
        <v>0</v>
      </c>
      <c r="O28" s="73">
        <v>0</v>
      </c>
    </row>
    <row r="29" spans="1:15" outlineLevel="2">
      <c r="A29" s="197" t="s">
        <v>1776</v>
      </c>
      <c r="B29" s="198" t="s">
        <v>1743</v>
      </c>
      <c r="C29" s="197" t="s">
        <v>1599</v>
      </c>
      <c r="D29" s="63">
        <v>44865</v>
      </c>
      <c r="E29" s="63">
        <v>44869</v>
      </c>
      <c r="F29" s="193">
        <v>1</v>
      </c>
      <c r="G29" s="73">
        <v>5</v>
      </c>
      <c r="H29" s="73">
        <v>0</v>
      </c>
      <c r="I29" s="73">
        <v>0</v>
      </c>
      <c r="J29" s="193">
        <v>0</v>
      </c>
      <c r="K29" s="193">
        <v>0</v>
      </c>
      <c r="L29" s="193">
        <f t="shared" si="0"/>
        <v>0</v>
      </c>
      <c r="O29" s="73">
        <v>0</v>
      </c>
    </row>
    <row r="30" spans="1:15" outlineLevel="2">
      <c r="A30" s="197" t="s">
        <v>1776</v>
      </c>
      <c r="B30" s="198" t="s">
        <v>1744</v>
      </c>
      <c r="C30" s="197" t="s">
        <v>1600</v>
      </c>
      <c r="D30" s="63">
        <v>44872</v>
      </c>
      <c r="E30" s="63">
        <v>44876</v>
      </c>
      <c r="F30" s="193">
        <v>1</v>
      </c>
      <c r="G30" s="73">
        <v>5</v>
      </c>
      <c r="H30" s="73">
        <v>0</v>
      </c>
      <c r="I30" s="73">
        <v>0</v>
      </c>
      <c r="J30" s="193">
        <v>0</v>
      </c>
      <c r="K30" s="193">
        <v>0</v>
      </c>
      <c r="L30" s="193">
        <f t="shared" si="0"/>
        <v>0</v>
      </c>
      <c r="O30" s="73">
        <v>0</v>
      </c>
    </row>
    <row r="31" spans="1:15" outlineLevel="2">
      <c r="A31" s="197" t="s">
        <v>1776</v>
      </c>
      <c r="B31" s="198" t="s">
        <v>1746</v>
      </c>
      <c r="C31" s="197" t="s">
        <v>1562</v>
      </c>
      <c r="D31" s="63">
        <v>44879</v>
      </c>
      <c r="E31" s="63">
        <v>44880</v>
      </c>
      <c r="F31" s="193">
        <v>1</v>
      </c>
      <c r="G31" s="73">
        <v>2</v>
      </c>
      <c r="H31" s="73">
        <v>0</v>
      </c>
      <c r="I31" s="73">
        <v>0</v>
      </c>
      <c r="J31" s="193">
        <v>0</v>
      </c>
      <c r="K31" s="193">
        <v>0</v>
      </c>
      <c r="L31" s="193">
        <f t="shared" si="0"/>
        <v>0</v>
      </c>
      <c r="O31" s="73">
        <v>0</v>
      </c>
    </row>
    <row r="32" spans="1:15" outlineLevel="2">
      <c r="A32" s="197" t="s">
        <v>1776</v>
      </c>
      <c r="B32" s="198" t="s">
        <v>1748</v>
      </c>
      <c r="C32" s="197" t="s">
        <v>1601</v>
      </c>
      <c r="D32" s="63">
        <v>44881</v>
      </c>
      <c r="E32" s="63">
        <v>44883</v>
      </c>
      <c r="F32" s="193">
        <v>1</v>
      </c>
      <c r="G32" s="73">
        <v>3</v>
      </c>
      <c r="H32" s="73">
        <v>0</v>
      </c>
      <c r="I32" s="73">
        <v>0</v>
      </c>
      <c r="J32" s="193">
        <v>0</v>
      </c>
      <c r="K32" s="193">
        <v>0</v>
      </c>
      <c r="L32" s="193">
        <f t="shared" si="0"/>
        <v>0</v>
      </c>
      <c r="O32" s="73">
        <v>0</v>
      </c>
    </row>
    <row r="33" spans="1:15" outlineLevel="2">
      <c r="A33" s="197" t="s">
        <v>1776</v>
      </c>
      <c r="B33" s="198" t="s">
        <v>1749</v>
      </c>
      <c r="C33" s="197" t="s">
        <v>1602</v>
      </c>
      <c r="D33" s="63">
        <v>44886</v>
      </c>
      <c r="E33" s="63">
        <v>44887</v>
      </c>
      <c r="F33" s="193">
        <v>1</v>
      </c>
      <c r="G33" s="73">
        <v>2</v>
      </c>
      <c r="H33" s="73">
        <v>0</v>
      </c>
      <c r="I33" s="73">
        <v>0</v>
      </c>
      <c r="J33" s="193">
        <v>0</v>
      </c>
      <c r="K33" s="193">
        <v>0</v>
      </c>
      <c r="L33" s="193">
        <f t="shared" si="0"/>
        <v>0</v>
      </c>
      <c r="O33" s="73">
        <v>0</v>
      </c>
    </row>
    <row r="34" spans="1:15" outlineLevel="2">
      <c r="A34" s="197" t="s">
        <v>1776</v>
      </c>
      <c r="B34" s="198" t="s">
        <v>1750</v>
      </c>
      <c r="C34" s="197" t="s">
        <v>1568</v>
      </c>
      <c r="D34" s="63">
        <v>44888</v>
      </c>
      <c r="E34" s="63">
        <v>44889</v>
      </c>
      <c r="F34" s="193">
        <v>1</v>
      </c>
      <c r="G34" s="73">
        <v>2</v>
      </c>
      <c r="H34" s="73">
        <v>0</v>
      </c>
      <c r="I34" s="73">
        <v>0</v>
      </c>
      <c r="J34" s="193">
        <v>0</v>
      </c>
      <c r="K34" s="193">
        <v>0</v>
      </c>
      <c r="L34" s="193">
        <f t="shared" si="0"/>
        <v>0</v>
      </c>
      <c r="O34" s="73">
        <v>0</v>
      </c>
    </row>
    <row r="35" spans="1:15" outlineLevel="1">
      <c r="A35" s="199" t="s">
        <v>1780</v>
      </c>
      <c r="B35" s="200"/>
      <c r="C35" s="201"/>
      <c r="D35" s="202"/>
      <c r="E35" s="202"/>
      <c r="F35" s="203"/>
      <c r="G35" s="204">
        <f>SUBTOTAL(9,G20:G34)</f>
        <v>60</v>
      </c>
      <c r="H35" s="204">
        <f>SUBTOTAL(9,H20:H34)</f>
        <v>6</v>
      </c>
      <c r="I35" s="204">
        <f>SUBTOTAL(9,I20:I34)</f>
        <v>0</v>
      </c>
      <c r="J35" s="203">
        <f>H35/G35</f>
        <v>0.1</v>
      </c>
      <c r="K35" s="203">
        <f>I35/G35</f>
        <v>0</v>
      </c>
      <c r="L35" s="206">
        <f t="shared" si="0"/>
        <v>-0.1</v>
      </c>
      <c r="M35" s="204"/>
      <c r="N35" s="204"/>
      <c r="O35" s="204">
        <f>SUBTOTAL(9,O20:O34)</f>
        <v>0</v>
      </c>
    </row>
    <row r="36" spans="1:15" outlineLevel="2">
      <c r="A36" s="197" t="s">
        <v>1622</v>
      </c>
      <c r="B36" s="198" t="s">
        <v>1644</v>
      </c>
      <c r="C36" s="197" t="s">
        <v>1523</v>
      </c>
      <c r="D36" s="63">
        <v>44831</v>
      </c>
      <c r="E36" s="63">
        <v>44833</v>
      </c>
      <c r="F36" s="193">
        <v>1</v>
      </c>
      <c r="G36" s="73">
        <v>3</v>
      </c>
      <c r="H36" s="73">
        <v>3</v>
      </c>
      <c r="I36" s="73">
        <v>3</v>
      </c>
      <c r="J36" s="193">
        <v>1</v>
      </c>
      <c r="K36" s="193">
        <v>1</v>
      </c>
      <c r="L36" s="193">
        <f t="shared" si="0"/>
        <v>0</v>
      </c>
      <c r="M36" s="63">
        <v>44831</v>
      </c>
      <c r="N36" s="63">
        <v>44833</v>
      </c>
      <c r="O36" s="73">
        <v>3</v>
      </c>
    </row>
    <row r="37" spans="1:15" outlineLevel="2">
      <c r="A37" s="197" t="s">
        <v>1622</v>
      </c>
      <c r="B37" s="198" t="s">
        <v>1645</v>
      </c>
      <c r="C37" s="197" t="s">
        <v>1524</v>
      </c>
      <c r="D37" s="63">
        <v>44834</v>
      </c>
      <c r="E37" s="63">
        <v>44839</v>
      </c>
      <c r="F37" s="193">
        <v>1</v>
      </c>
      <c r="G37" s="73">
        <v>3</v>
      </c>
      <c r="H37" s="73">
        <v>3</v>
      </c>
      <c r="I37" s="73">
        <v>0</v>
      </c>
      <c r="J37" s="193">
        <v>1</v>
      </c>
      <c r="K37" s="193">
        <v>0</v>
      </c>
      <c r="L37" s="205">
        <f t="shared" si="0"/>
        <v>-1</v>
      </c>
      <c r="O37" s="73">
        <v>0</v>
      </c>
    </row>
    <row r="38" spans="1:15" outlineLevel="2">
      <c r="A38" s="197" t="s">
        <v>1622</v>
      </c>
      <c r="B38" s="198" t="s">
        <v>1646</v>
      </c>
      <c r="C38" s="197" t="s">
        <v>1525</v>
      </c>
      <c r="D38" s="63">
        <v>44840</v>
      </c>
      <c r="E38" s="63">
        <v>44845</v>
      </c>
      <c r="F38" s="193">
        <v>1</v>
      </c>
      <c r="G38" s="73">
        <v>3</v>
      </c>
      <c r="H38" s="73">
        <v>3</v>
      </c>
      <c r="I38" s="73">
        <v>3</v>
      </c>
      <c r="J38" s="193">
        <v>1</v>
      </c>
      <c r="K38" s="193">
        <v>1</v>
      </c>
      <c r="L38" s="193">
        <f t="shared" si="0"/>
        <v>0</v>
      </c>
      <c r="M38" s="63">
        <v>44840</v>
      </c>
      <c r="N38" s="63">
        <v>44845</v>
      </c>
      <c r="O38" s="73">
        <v>3</v>
      </c>
    </row>
    <row r="39" spans="1:15" outlineLevel="2">
      <c r="A39" s="197" t="s">
        <v>1622</v>
      </c>
      <c r="B39" s="198" t="s">
        <v>1647</v>
      </c>
      <c r="C39" s="197" t="s">
        <v>1526</v>
      </c>
      <c r="D39" s="63">
        <v>44840</v>
      </c>
      <c r="E39" s="63">
        <v>44845</v>
      </c>
      <c r="F39" s="193">
        <v>1</v>
      </c>
      <c r="G39" s="73">
        <v>3</v>
      </c>
      <c r="H39" s="73">
        <v>3</v>
      </c>
      <c r="I39" s="73">
        <v>0</v>
      </c>
      <c r="J39" s="193">
        <v>1</v>
      </c>
      <c r="K39" s="193">
        <v>0</v>
      </c>
      <c r="L39" s="205">
        <f t="shared" ref="L39:L70" si="1">K39-J39</f>
        <v>-1</v>
      </c>
      <c r="O39" s="73">
        <v>0</v>
      </c>
    </row>
    <row r="40" spans="1:15" outlineLevel="2">
      <c r="A40" s="197" t="s">
        <v>1622</v>
      </c>
      <c r="B40" s="198" t="s">
        <v>1648</v>
      </c>
      <c r="C40" s="197" t="s">
        <v>1527</v>
      </c>
      <c r="D40" s="63">
        <v>44840</v>
      </c>
      <c r="E40" s="63">
        <v>44845</v>
      </c>
      <c r="F40" s="193">
        <v>1</v>
      </c>
      <c r="G40" s="73">
        <v>3</v>
      </c>
      <c r="H40" s="73">
        <v>3</v>
      </c>
      <c r="I40" s="73">
        <v>0</v>
      </c>
      <c r="J40" s="193">
        <v>1</v>
      </c>
      <c r="K40" s="193">
        <v>0</v>
      </c>
      <c r="L40" s="205">
        <f t="shared" si="1"/>
        <v>-1</v>
      </c>
      <c r="O40" s="73">
        <v>0</v>
      </c>
    </row>
    <row r="41" spans="1:15" outlineLevel="1">
      <c r="A41" s="199" t="s">
        <v>1781</v>
      </c>
      <c r="B41" s="200"/>
      <c r="C41" s="201"/>
      <c r="D41" s="202"/>
      <c r="E41" s="202"/>
      <c r="F41" s="203"/>
      <c r="G41" s="204">
        <f>SUBTOTAL(9,G36:G40)</f>
        <v>15</v>
      </c>
      <c r="H41" s="204">
        <f>SUBTOTAL(9,H36:H40)</f>
        <v>15</v>
      </c>
      <c r="I41" s="204">
        <f>SUBTOTAL(9,I36:I40)</f>
        <v>6</v>
      </c>
      <c r="J41" s="203">
        <f>H41/G41</f>
        <v>1</v>
      </c>
      <c r="K41" s="203">
        <f>I41/G41</f>
        <v>0.4</v>
      </c>
      <c r="L41" s="206">
        <f t="shared" si="1"/>
        <v>-0.6</v>
      </c>
      <c r="M41" s="204"/>
      <c r="N41" s="204"/>
      <c r="O41" s="204">
        <f>SUBTOTAL(9,O36:O40)</f>
        <v>6</v>
      </c>
    </row>
    <row r="42" spans="1:15" outlineLevel="2">
      <c r="A42" s="197" t="s">
        <v>1773</v>
      </c>
      <c r="B42" s="198" t="s">
        <v>1680</v>
      </c>
      <c r="C42" s="197" t="s">
        <v>1555</v>
      </c>
      <c r="D42" s="63">
        <v>44907</v>
      </c>
      <c r="E42" s="63">
        <v>44908</v>
      </c>
      <c r="F42" s="193">
        <v>1</v>
      </c>
      <c r="G42" s="73">
        <v>2</v>
      </c>
      <c r="H42" s="73">
        <v>0</v>
      </c>
      <c r="I42" s="73">
        <v>0</v>
      </c>
      <c r="J42" s="193">
        <v>0</v>
      </c>
      <c r="K42" s="193">
        <v>0</v>
      </c>
      <c r="L42" s="193">
        <f t="shared" si="1"/>
        <v>0</v>
      </c>
      <c r="O42" s="73">
        <v>0</v>
      </c>
    </row>
    <row r="43" spans="1:15" outlineLevel="2">
      <c r="A43" s="197" t="s">
        <v>1773</v>
      </c>
      <c r="B43" s="198" t="s">
        <v>1681</v>
      </c>
      <c r="C43" s="197" t="s">
        <v>1556</v>
      </c>
      <c r="D43" s="63">
        <v>44909</v>
      </c>
      <c r="E43" s="63">
        <v>44910</v>
      </c>
      <c r="F43" s="193">
        <v>1</v>
      </c>
      <c r="G43" s="73">
        <v>2</v>
      </c>
      <c r="H43" s="73">
        <v>0</v>
      </c>
      <c r="I43" s="73">
        <v>0</v>
      </c>
      <c r="J43" s="193">
        <v>0</v>
      </c>
      <c r="K43" s="193">
        <v>0</v>
      </c>
      <c r="L43" s="193">
        <f t="shared" si="1"/>
        <v>0</v>
      </c>
      <c r="O43" s="73">
        <v>0</v>
      </c>
    </row>
    <row r="44" spans="1:15" outlineLevel="2">
      <c r="A44" s="197" t="s">
        <v>1773</v>
      </c>
      <c r="B44" s="198" t="s">
        <v>1682</v>
      </c>
      <c r="C44" s="197" t="s">
        <v>1557</v>
      </c>
      <c r="D44" s="63">
        <v>44911</v>
      </c>
      <c r="E44" s="63">
        <v>44914</v>
      </c>
      <c r="F44" s="193">
        <v>1</v>
      </c>
      <c r="G44" s="73">
        <v>2</v>
      </c>
      <c r="H44" s="73">
        <v>0</v>
      </c>
      <c r="I44" s="73">
        <v>0</v>
      </c>
      <c r="J44" s="193">
        <v>0</v>
      </c>
      <c r="K44" s="193">
        <v>0</v>
      </c>
      <c r="L44" s="193">
        <f t="shared" si="1"/>
        <v>0</v>
      </c>
      <c r="O44" s="73">
        <v>0</v>
      </c>
    </row>
    <row r="45" spans="1:15" outlineLevel="2">
      <c r="A45" s="197" t="s">
        <v>1773</v>
      </c>
      <c r="B45" s="198" t="s">
        <v>1683</v>
      </c>
      <c r="C45" s="197" t="s">
        <v>1547</v>
      </c>
      <c r="D45" s="63">
        <v>44915</v>
      </c>
      <c r="E45" s="63">
        <v>44916</v>
      </c>
      <c r="F45" s="193">
        <v>1</v>
      </c>
      <c r="G45" s="73">
        <v>2</v>
      </c>
      <c r="H45" s="73">
        <v>0</v>
      </c>
      <c r="I45" s="73">
        <v>0</v>
      </c>
      <c r="J45" s="193">
        <v>0</v>
      </c>
      <c r="K45" s="193">
        <v>0</v>
      </c>
      <c r="L45" s="193">
        <f t="shared" si="1"/>
        <v>0</v>
      </c>
      <c r="O45" s="73">
        <v>0</v>
      </c>
    </row>
    <row r="46" spans="1:15" outlineLevel="2">
      <c r="A46" s="197" t="s">
        <v>1773</v>
      </c>
      <c r="B46" s="198" t="s">
        <v>1684</v>
      </c>
      <c r="C46" s="197" t="s">
        <v>1558</v>
      </c>
      <c r="D46" s="63">
        <v>44917</v>
      </c>
      <c r="E46" s="63">
        <v>44918</v>
      </c>
      <c r="F46" s="193">
        <v>1</v>
      </c>
      <c r="G46" s="73">
        <v>2</v>
      </c>
      <c r="H46" s="73">
        <v>0</v>
      </c>
      <c r="I46" s="73">
        <v>0</v>
      </c>
      <c r="J46" s="193">
        <v>0</v>
      </c>
      <c r="K46" s="193">
        <v>0</v>
      </c>
      <c r="L46" s="193">
        <f t="shared" si="1"/>
        <v>0</v>
      </c>
      <c r="O46" s="73">
        <v>0</v>
      </c>
    </row>
    <row r="47" spans="1:15" outlineLevel="2">
      <c r="A47" s="197" t="s">
        <v>1773</v>
      </c>
      <c r="B47" s="198" t="s">
        <v>1685</v>
      </c>
      <c r="C47" s="197" t="s">
        <v>1559</v>
      </c>
      <c r="D47" s="63">
        <v>44922</v>
      </c>
      <c r="E47" s="63">
        <v>44923</v>
      </c>
      <c r="F47" s="193">
        <v>1</v>
      </c>
      <c r="G47" s="73">
        <v>2</v>
      </c>
      <c r="H47" s="73">
        <v>0</v>
      </c>
      <c r="I47" s="73">
        <v>0</v>
      </c>
      <c r="J47" s="193">
        <v>0</v>
      </c>
      <c r="K47" s="193">
        <v>0</v>
      </c>
      <c r="L47" s="193">
        <f t="shared" si="1"/>
        <v>0</v>
      </c>
      <c r="O47" s="73">
        <v>0</v>
      </c>
    </row>
    <row r="48" spans="1:15" outlineLevel="2">
      <c r="A48" s="197" t="s">
        <v>1773</v>
      </c>
      <c r="B48" s="198" t="s">
        <v>1686</v>
      </c>
      <c r="C48" s="197" t="s">
        <v>1560</v>
      </c>
      <c r="D48" s="63">
        <v>44924</v>
      </c>
      <c r="E48" s="63">
        <v>44925</v>
      </c>
      <c r="F48" s="193">
        <v>1</v>
      </c>
      <c r="G48" s="73">
        <v>2</v>
      </c>
      <c r="H48" s="73">
        <v>0</v>
      </c>
      <c r="I48" s="73">
        <v>0</v>
      </c>
      <c r="J48" s="193">
        <v>0</v>
      </c>
      <c r="K48" s="193">
        <v>0</v>
      </c>
      <c r="L48" s="193">
        <f t="shared" si="1"/>
        <v>0</v>
      </c>
      <c r="O48" s="73">
        <v>0</v>
      </c>
    </row>
    <row r="49" spans="1:15" outlineLevel="2">
      <c r="A49" s="197" t="s">
        <v>1773</v>
      </c>
      <c r="B49" s="198" t="s">
        <v>1688</v>
      </c>
      <c r="C49" s="197" t="s">
        <v>1561</v>
      </c>
      <c r="D49" s="63">
        <v>44840</v>
      </c>
      <c r="E49" s="63">
        <v>44840</v>
      </c>
      <c r="F49" s="193">
        <v>1</v>
      </c>
      <c r="G49" s="73">
        <v>1</v>
      </c>
      <c r="H49" s="73">
        <v>1</v>
      </c>
      <c r="I49" s="73">
        <v>0</v>
      </c>
      <c r="J49" s="193">
        <v>1</v>
      </c>
      <c r="K49" s="193">
        <v>0</v>
      </c>
      <c r="L49" s="205">
        <f t="shared" si="1"/>
        <v>-1</v>
      </c>
      <c r="O49" s="73">
        <v>0</v>
      </c>
    </row>
    <row r="50" spans="1:15" outlineLevel="2">
      <c r="A50" s="197" t="s">
        <v>1773</v>
      </c>
      <c r="B50" s="198" t="s">
        <v>1689</v>
      </c>
      <c r="C50" s="197" t="s">
        <v>1562</v>
      </c>
      <c r="D50" s="63">
        <v>44841</v>
      </c>
      <c r="E50" s="63">
        <v>44841</v>
      </c>
      <c r="F50" s="193">
        <v>1</v>
      </c>
      <c r="G50" s="73">
        <v>1</v>
      </c>
      <c r="H50" s="73">
        <v>1</v>
      </c>
      <c r="I50" s="73">
        <v>1</v>
      </c>
      <c r="J50" s="193">
        <v>1</v>
      </c>
      <c r="K50" s="193">
        <v>1</v>
      </c>
      <c r="L50" s="193">
        <f t="shared" si="1"/>
        <v>0</v>
      </c>
      <c r="M50" s="63">
        <v>44841</v>
      </c>
      <c r="N50" s="63">
        <v>44841</v>
      </c>
      <c r="O50" s="73">
        <v>1</v>
      </c>
    </row>
    <row r="51" spans="1:15" outlineLevel="2">
      <c r="A51" s="197" t="s">
        <v>1773</v>
      </c>
      <c r="B51" s="198" t="s">
        <v>1691</v>
      </c>
      <c r="C51" s="197" t="s">
        <v>1564</v>
      </c>
      <c r="D51" s="63">
        <v>44845</v>
      </c>
      <c r="E51" s="63">
        <v>44851</v>
      </c>
      <c r="F51" s="193">
        <v>1</v>
      </c>
      <c r="G51" s="73">
        <v>5</v>
      </c>
      <c r="H51" s="73">
        <v>4</v>
      </c>
      <c r="I51" s="73">
        <v>0</v>
      </c>
      <c r="J51" s="193">
        <v>0.8</v>
      </c>
      <c r="K51" s="193">
        <v>0</v>
      </c>
      <c r="L51" s="205">
        <f t="shared" si="1"/>
        <v>-0.8</v>
      </c>
      <c r="O51" s="73">
        <v>0</v>
      </c>
    </row>
    <row r="52" spans="1:15" outlineLevel="2">
      <c r="A52" s="197" t="s">
        <v>1773</v>
      </c>
      <c r="B52" s="198" t="s">
        <v>1692</v>
      </c>
      <c r="C52" s="197" t="s">
        <v>1565</v>
      </c>
      <c r="D52" s="63">
        <v>44852</v>
      </c>
      <c r="E52" s="63">
        <v>44854</v>
      </c>
      <c r="F52" s="193">
        <v>1</v>
      </c>
      <c r="G52" s="73">
        <v>3</v>
      </c>
      <c r="H52" s="73">
        <v>0</v>
      </c>
      <c r="I52" s="73">
        <v>0</v>
      </c>
      <c r="J52" s="193">
        <v>0</v>
      </c>
      <c r="K52" s="193">
        <v>0</v>
      </c>
      <c r="L52" s="193">
        <f t="shared" si="1"/>
        <v>0</v>
      </c>
      <c r="O52" s="73">
        <v>0</v>
      </c>
    </row>
    <row r="53" spans="1:15" outlineLevel="2">
      <c r="A53" s="197" t="s">
        <v>1773</v>
      </c>
      <c r="B53" s="198" t="s">
        <v>1693</v>
      </c>
      <c r="C53" s="197" t="s">
        <v>1566</v>
      </c>
      <c r="D53" s="63">
        <v>44855</v>
      </c>
      <c r="E53" s="63">
        <v>44858</v>
      </c>
      <c r="F53" s="193">
        <v>1</v>
      </c>
      <c r="G53" s="73">
        <v>2</v>
      </c>
      <c r="H53" s="73">
        <v>0</v>
      </c>
      <c r="I53" s="73">
        <v>0</v>
      </c>
      <c r="J53" s="193">
        <v>0</v>
      </c>
      <c r="K53" s="193">
        <v>0</v>
      </c>
      <c r="L53" s="193">
        <f t="shared" si="1"/>
        <v>0</v>
      </c>
      <c r="O53" s="73">
        <v>0</v>
      </c>
    </row>
    <row r="54" spans="1:15" outlineLevel="2">
      <c r="A54" s="197" t="s">
        <v>1773</v>
      </c>
      <c r="B54" s="198" t="s">
        <v>1694</v>
      </c>
      <c r="C54" s="197" t="s">
        <v>1512</v>
      </c>
      <c r="D54" s="63">
        <v>44859</v>
      </c>
      <c r="E54" s="63">
        <v>44860</v>
      </c>
      <c r="F54" s="193">
        <v>1</v>
      </c>
      <c r="G54" s="73">
        <v>2</v>
      </c>
      <c r="H54" s="73">
        <v>0</v>
      </c>
      <c r="I54" s="73">
        <v>0</v>
      </c>
      <c r="J54" s="193">
        <v>0</v>
      </c>
      <c r="K54" s="193">
        <v>0</v>
      </c>
      <c r="L54" s="193">
        <f t="shared" si="1"/>
        <v>0</v>
      </c>
      <c r="O54" s="73">
        <v>0</v>
      </c>
    </row>
    <row r="55" spans="1:15" outlineLevel="2">
      <c r="A55" s="197" t="s">
        <v>1773</v>
      </c>
      <c r="B55" s="198" t="s">
        <v>1695</v>
      </c>
      <c r="C55" s="197" t="s">
        <v>1567</v>
      </c>
      <c r="D55" s="63">
        <v>44861</v>
      </c>
      <c r="E55" s="63">
        <v>44862</v>
      </c>
      <c r="F55" s="193">
        <v>1</v>
      </c>
      <c r="G55" s="73">
        <v>2</v>
      </c>
      <c r="H55" s="73">
        <v>0</v>
      </c>
      <c r="I55" s="73">
        <v>0</v>
      </c>
      <c r="J55" s="193">
        <v>0</v>
      </c>
      <c r="K55" s="193">
        <v>0</v>
      </c>
      <c r="L55" s="193">
        <f t="shared" si="1"/>
        <v>0</v>
      </c>
      <c r="O55" s="73">
        <v>0</v>
      </c>
    </row>
    <row r="56" spans="1:15" outlineLevel="2">
      <c r="A56" s="197" t="s">
        <v>1773</v>
      </c>
      <c r="B56" s="198" t="s">
        <v>1696</v>
      </c>
      <c r="C56" s="197" t="s">
        <v>1568</v>
      </c>
      <c r="D56" s="63">
        <v>44865</v>
      </c>
      <c r="E56" s="63">
        <v>44866</v>
      </c>
      <c r="F56" s="193">
        <v>1</v>
      </c>
      <c r="G56" s="73">
        <v>2</v>
      </c>
      <c r="H56" s="73">
        <v>0</v>
      </c>
      <c r="I56" s="73">
        <v>0</v>
      </c>
      <c r="J56" s="193">
        <v>0</v>
      </c>
      <c r="K56" s="193">
        <v>0</v>
      </c>
      <c r="L56" s="193">
        <f t="shared" si="1"/>
        <v>0</v>
      </c>
      <c r="O56" s="73">
        <v>0</v>
      </c>
    </row>
    <row r="57" spans="1:15" outlineLevel="2">
      <c r="A57" s="197" t="s">
        <v>1773</v>
      </c>
      <c r="B57" s="198" t="s">
        <v>1697</v>
      </c>
      <c r="C57" s="197" t="s">
        <v>1509</v>
      </c>
      <c r="D57" s="63">
        <v>44867</v>
      </c>
      <c r="E57" s="63">
        <v>44873</v>
      </c>
      <c r="F57" s="193">
        <v>1</v>
      </c>
      <c r="G57" s="73">
        <v>5</v>
      </c>
      <c r="H57" s="73">
        <v>0</v>
      </c>
      <c r="I57" s="73">
        <v>0</v>
      </c>
      <c r="J57" s="193">
        <v>0</v>
      </c>
      <c r="K57" s="193">
        <v>0</v>
      </c>
      <c r="L57" s="193">
        <f t="shared" si="1"/>
        <v>0</v>
      </c>
      <c r="O57" s="73">
        <v>0</v>
      </c>
    </row>
    <row r="58" spans="1:15" outlineLevel="2">
      <c r="A58" s="197" t="s">
        <v>1773</v>
      </c>
      <c r="B58" s="198" t="s">
        <v>1726</v>
      </c>
      <c r="C58" s="197" t="s">
        <v>1562</v>
      </c>
      <c r="D58" s="63">
        <v>44890</v>
      </c>
      <c r="E58" s="63">
        <v>44890</v>
      </c>
      <c r="F58" s="193">
        <v>1</v>
      </c>
      <c r="G58" s="73">
        <v>1</v>
      </c>
      <c r="H58" s="73">
        <v>0</v>
      </c>
      <c r="I58" s="73">
        <v>0</v>
      </c>
      <c r="J58" s="193">
        <v>0</v>
      </c>
      <c r="K58" s="193">
        <v>0</v>
      </c>
      <c r="L58" s="193">
        <f t="shared" si="1"/>
        <v>0</v>
      </c>
      <c r="O58" s="73">
        <v>0</v>
      </c>
    </row>
    <row r="59" spans="1:15" outlineLevel="2">
      <c r="A59" s="197" t="s">
        <v>1773</v>
      </c>
      <c r="B59" s="198" t="s">
        <v>1728</v>
      </c>
      <c r="C59" s="197" t="s">
        <v>1588</v>
      </c>
      <c r="D59" s="63">
        <v>44893</v>
      </c>
      <c r="E59" s="63">
        <v>44895</v>
      </c>
      <c r="F59" s="193">
        <v>1</v>
      </c>
      <c r="G59" s="73">
        <v>3</v>
      </c>
      <c r="H59" s="73">
        <v>0</v>
      </c>
      <c r="I59" s="73">
        <v>0</v>
      </c>
      <c r="J59" s="193">
        <v>0</v>
      </c>
      <c r="K59" s="193">
        <v>0</v>
      </c>
      <c r="L59" s="193">
        <f t="shared" si="1"/>
        <v>0</v>
      </c>
      <c r="O59" s="73">
        <v>0</v>
      </c>
    </row>
    <row r="60" spans="1:15" outlineLevel="2">
      <c r="A60" s="197" t="s">
        <v>1773</v>
      </c>
      <c r="B60" s="198" t="s">
        <v>1729</v>
      </c>
      <c r="C60" s="197" t="s">
        <v>1589</v>
      </c>
      <c r="D60" s="63">
        <v>44896</v>
      </c>
      <c r="E60" s="63">
        <v>44902</v>
      </c>
      <c r="F60" s="193">
        <v>1</v>
      </c>
      <c r="G60" s="73">
        <v>5</v>
      </c>
      <c r="H60" s="73">
        <v>0</v>
      </c>
      <c r="I60" s="73">
        <v>0</v>
      </c>
      <c r="J60" s="193">
        <v>0</v>
      </c>
      <c r="K60" s="193">
        <v>0</v>
      </c>
      <c r="L60" s="193">
        <f t="shared" si="1"/>
        <v>0</v>
      </c>
      <c r="O60" s="73">
        <v>0</v>
      </c>
    </row>
    <row r="61" spans="1:15" outlineLevel="2">
      <c r="A61" s="197" t="s">
        <v>1773</v>
      </c>
      <c r="B61" s="198" t="s">
        <v>1730</v>
      </c>
      <c r="C61" s="197" t="s">
        <v>1590</v>
      </c>
      <c r="D61" s="63">
        <v>44903</v>
      </c>
      <c r="E61" s="63">
        <v>44904</v>
      </c>
      <c r="F61" s="193">
        <v>1</v>
      </c>
      <c r="G61" s="73">
        <v>2</v>
      </c>
      <c r="H61" s="73">
        <v>0</v>
      </c>
      <c r="I61" s="73">
        <v>0</v>
      </c>
      <c r="J61" s="193">
        <v>0</v>
      </c>
      <c r="K61" s="193">
        <v>0</v>
      </c>
      <c r="L61" s="193">
        <f t="shared" si="1"/>
        <v>0</v>
      </c>
      <c r="O61" s="73">
        <v>0</v>
      </c>
    </row>
    <row r="62" spans="1:15" outlineLevel="2">
      <c r="A62" s="197" t="s">
        <v>1773</v>
      </c>
      <c r="B62" s="198" t="s">
        <v>1732</v>
      </c>
      <c r="C62" s="197" t="s">
        <v>1562</v>
      </c>
      <c r="D62" s="63">
        <v>44874</v>
      </c>
      <c r="E62" s="63">
        <v>44876</v>
      </c>
      <c r="F62" s="193">
        <v>1</v>
      </c>
      <c r="G62" s="73">
        <v>3</v>
      </c>
      <c r="H62" s="73">
        <v>0</v>
      </c>
      <c r="I62" s="73">
        <v>0</v>
      </c>
      <c r="J62" s="193">
        <v>0</v>
      </c>
      <c r="K62" s="193">
        <v>0</v>
      </c>
      <c r="L62" s="193">
        <f t="shared" si="1"/>
        <v>0</v>
      </c>
      <c r="O62" s="73">
        <v>0</v>
      </c>
    </row>
    <row r="63" spans="1:15" outlineLevel="2">
      <c r="A63" s="197" t="s">
        <v>1773</v>
      </c>
      <c r="B63" s="198" t="s">
        <v>1734</v>
      </c>
      <c r="C63" s="197" t="s">
        <v>1512</v>
      </c>
      <c r="D63" s="63">
        <v>44879</v>
      </c>
      <c r="E63" s="63">
        <v>44880</v>
      </c>
      <c r="F63" s="193">
        <v>1</v>
      </c>
      <c r="G63" s="73">
        <v>2</v>
      </c>
      <c r="H63" s="73">
        <v>0</v>
      </c>
      <c r="I63" s="73">
        <v>0</v>
      </c>
      <c r="J63" s="193">
        <v>0</v>
      </c>
      <c r="K63" s="193">
        <v>0</v>
      </c>
      <c r="L63" s="193">
        <f t="shared" si="1"/>
        <v>0</v>
      </c>
      <c r="O63" s="73">
        <v>0</v>
      </c>
    </row>
    <row r="64" spans="1:15" outlineLevel="2">
      <c r="A64" s="197" t="s">
        <v>1773</v>
      </c>
      <c r="B64" s="198" t="s">
        <v>1735</v>
      </c>
      <c r="C64" s="197" t="s">
        <v>1592</v>
      </c>
      <c r="D64" s="63">
        <v>44881</v>
      </c>
      <c r="E64" s="63">
        <v>44882</v>
      </c>
      <c r="F64" s="193">
        <v>1</v>
      </c>
      <c r="G64" s="73">
        <v>2</v>
      </c>
      <c r="H64" s="73">
        <v>0</v>
      </c>
      <c r="I64" s="73">
        <v>0</v>
      </c>
      <c r="J64" s="193">
        <v>0</v>
      </c>
      <c r="K64" s="193">
        <v>0</v>
      </c>
      <c r="L64" s="193">
        <f t="shared" si="1"/>
        <v>0</v>
      </c>
      <c r="O64" s="73">
        <v>0</v>
      </c>
    </row>
    <row r="65" spans="1:15" outlineLevel="2">
      <c r="A65" s="197" t="s">
        <v>1773</v>
      </c>
      <c r="B65" s="198" t="s">
        <v>1736</v>
      </c>
      <c r="C65" s="197" t="s">
        <v>1593</v>
      </c>
      <c r="D65" s="63">
        <v>44883</v>
      </c>
      <c r="E65" s="63">
        <v>44887</v>
      </c>
      <c r="F65" s="193">
        <v>1</v>
      </c>
      <c r="G65" s="73">
        <v>3</v>
      </c>
      <c r="H65" s="73">
        <v>0</v>
      </c>
      <c r="I65" s="73">
        <v>0</v>
      </c>
      <c r="J65" s="193">
        <v>0</v>
      </c>
      <c r="K65" s="193">
        <v>0</v>
      </c>
      <c r="L65" s="193">
        <f t="shared" si="1"/>
        <v>0</v>
      </c>
      <c r="O65" s="73">
        <v>0</v>
      </c>
    </row>
    <row r="66" spans="1:15" outlineLevel="2">
      <c r="A66" s="197" t="s">
        <v>1773</v>
      </c>
      <c r="B66" s="198" t="s">
        <v>1737</v>
      </c>
      <c r="C66" s="197" t="s">
        <v>1594</v>
      </c>
      <c r="D66" s="63">
        <v>44888</v>
      </c>
      <c r="E66" s="63">
        <v>44889</v>
      </c>
      <c r="F66" s="193">
        <v>1</v>
      </c>
      <c r="G66" s="73">
        <v>2</v>
      </c>
      <c r="H66" s="73">
        <v>0</v>
      </c>
      <c r="I66" s="73">
        <v>0</v>
      </c>
      <c r="J66" s="193">
        <v>0</v>
      </c>
      <c r="K66" s="193">
        <v>0</v>
      </c>
      <c r="L66" s="193">
        <f t="shared" si="1"/>
        <v>0</v>
      </c>
      <c r="O66" s="73">
        <v>0</v>
      </c>
    </row>
    <row r="67" spans="1:15" outlineLevel="1">
      <c r="A67" s="199" t="s">
        <v>1782</v>
      </c>
      <c r="B67" s="200"/>
      <c r="C67" s="201"/>
      <c r="D67" s="202"/>
      <c r="E67" s="202"/>
      <c r="F67" s="203"/>
      <c r="G67" s="204">
        <f>SUBTOTAL(9,G42:G66)</f>
        <v>60</v>
      </c>
      <c r="H67" s="204">
        <f>SUBTOTAL(9,H42:H66)</f>
        <v>6</v>
      </c>
      <c r="I67" s="204">
        <f>SUBTOTAL(9,I42:I66)</f>
        <v>1</v>
      </c>
      <c r="J67" s="203">
        <f>H67/G67</f>
        <v>0.1</v>
      </c>
      <c r="K67" s="203">
        <f>I67/G67</f>
        <v>1.6666666666666666E-2</v>
      </c>
      <c r="L67" s="206">
        <f t="shared" si="1"/>
        <v>-8.3333333333333343E-2</v>
      </c>
      <c r="M67" s="204"/>
      <c r="N67" s="204"/>
      <c r="O67" s="204">
        <f>SUBTOTAL(9,O42:O66)</f>
        <v>1</v>
      </c>
    </row>
    <row r="68" spans="1:15" outlineLevel="2">
      <c r="A68" s="197" t="s">
        <v>1618</v>
      </c>
      <c r="B68" s="198" t="s">
        <v>541</v>
      </c>
      <c r="C68" s="197" t="s">
        <v>1495</v>
      </c>
      <c r="D68" s="63">
        <v>44809</v>
      </c>
      <c r="E68" s="63">
        <v>44817</v>
      </c>
      <c r="F68" s="193">
        <v>1</v>
      </c>
      <c r="G68" s="73">
        <v>5</v>
      </c>
      <c r="H68" s="73">
        <v>5</v>
      </c>
      <c r="I68" s="73">
        <v>5</v>
      </c>
      <c r="J68" s="193">
        <v>1</v>
      </c>
      <c r="K68" s="193">
        <v>1</v>
      </c>
      <c r="L68" s="193">
        <f t="shared" si="1"/>
        <v>0</v>
      </c>
      <c r="M68" s="63">
        <v>44809</v>
      </c>
      <c r="N68" s="63">
        <v>44817</v>
      </c>
      <c r="O68" s="73">
        <v>5</v>
      </c>
    </row>
    <row r="69" spans="1:15" outlineLevel="2">
      <c r="A69" s="197" t="s">
        <v>1618</v>
      </c>
      <c r="B69" s="198" t="s">
        <v>1454</v>
      </c>
      <c r="C69" s="197" t="s">
        <v>1496</v>
      </c>
      <c r="D69" s="63">
        <v>44818</v>
      </c>
      <c r="E69" s="63">
        <v>44865</v>
      </c>
      <c r="F69" s="193">
        <v>1</v>
      </c>
      <c r="G69" s="73">
        <v>32</v>
      </c>
      <c r="H69" s="73">
        <v>21</v>
      </c>
      <c r="I69" s="73">
        <v>21.0016</v>
      </c>
      <c r="J69" s="193">
        <v>0.65625</v>
      </c>
      <c r="K69" s="193">
        <v>0.65629999999999999</v>
      </c>
      <c r="L69" s="193">
        <f t="shared" si="1"/>
        <v>4.9999999999994493E-5</v>
      </c>
      <c r="M69" s="63">
        <v>44818</v>
      </c>
      <c r="O69" s="73">
        <v>21.0016</v>
      </c>
    </row>
    <row r="70" spans="1:15" outlineLevel="2">
      <c r="A70" s="197" t="s">
        <v>1618</v>
      </c>
      <c r="B70" s="198" t="s">
        <v>1456</v>
      </c>
      <c r="C70" s="197" t="s">
        <v>1498</v>
      </c>
      <c r="D70" s="63">
        <v>44818</v>
      </c>
      <c r="E70" s="63">
        <v>44820</v>
      </c>
      <c r="F70" s="193">
        <v>1</v>
      </c>
      <c r="G70" s="73">
        <v>3</v>
      </c>
      <c r="H70" s="73">
        <v>3</v>
      </c>
      <c r="I70" s="73">
        <v>3</v>
      </c>
      <c r="J70" s="193">
        <v>1</v>
      </c>
      <c r="K70" s="193">
        <v>1</v>
      </c>
      <c r="L70" s="193">
        <f t="shared" si="1"/>
        <v>0</v>
      </c>
      <c r="M70" s="63">
        <v>44818</v>
      </c>
      <c r="N70" s="63">
        <v>44820</v>
      </c>
      <c r="O70" s="73">
        <v>3</v>
      </c>
    </row>
    <row r="71" spans="1:15" outlineLevel="2">
      <c r="A71" s="197" t="s">
        <v>1618</v>
      </c>
      <c r="B71" s="198" t="s">
        <v>1457</v>
      </c>
      <c r="C71" s="197" t="s">
        <v>1499</v>
      </c>
      <c r="D71" s="63">
        <v>44823</v>
      </c>
      <c r="E71" s="63">
        <v>44827</v>
      </c>
      <c r="F71" s="193">
        <v>0</v>
      </c>
      <c r="G71" s="73">
        <v>0</v>
      </c>
      <c r="H71" s="73">
        <v>0</v>
      </c>
      <c r="I71" s="73">
        <v>0</v>
      </c>
      <c r="J71" s="193">
        <v>1</v>
      </c>
      <c r="K71" s="193">
        <v>1</v>
      </c>
      <c r="L71" s="193">
        <f t="shared" ref="L71:L102" si="2">K71-J71</f>
        <v>0</v>
      </c>
      <c r="M71" s="63">
        <v>44823</v>
      </c>
      <c r="N71" s="63">
        <v>44827</v>
      </c>
      <c r="O71" s="73">
        <v>0</v>
      </c>
    </row>
    <row r="72" spans="1:15" outlineLevel="2">
      <c r="A72" s="197" t="s">
        <v>1618</v>
      </c>
      <c r="B72" s="198" t="s">
        <v>1458</v>
      </c>
      <c r="C72" s="197" t="s">
        <v>1500</v>
      </c>
      <c r="D72" s="63">
        <v>44830</v>
      </c>
      <c r="E72" s="63">
        <v>44852</v>
      </c>
      <c r="F72" s="193">
        <v>1</v>
      </c>
      <c r="G72" s="73">
        <v>15</v>
      </c>
      <c r="H72" s="73">
        <v>13</v>
      </c>
      <c r="I72" s="73">
        <v>0</v>
      </c>
      <c r="J72" s="193">
        <v>0.8666666666666667</v>
      </c>
      <c r="K72" s="193">
        <v>0</v>
      </c>
      <c r="L72" s="205">
        <f t="shared" si="2"/>
        <v>-0.8666666666666667</v>
      </c>
      <c r="M72" s="63">
        <v>44830</v>
      </c>
      <c r="O72" s="73">
        <v>0</v>
      </c>
    </row>
    <row r="73" spans="1:15" outlineLevel="1">
      <c r="A73" s="199" t="s">
        <v>1783</v>
      </c>
      <c r="B73" s="200"/>
      <c r="C73" s="201"/>
      <c r="D73" s="202"/>
      <c r="E73" s="202"/>
      <c r="F73" s="203"/>
      <c r="G73" s="204">
        <f>SUBTOTAL(9,G68:G72)</f>
        <v>55</v>
      </c>
      <c r="H73" s="204">
        <f>SUBTOTAL(9,H68:H72)</f>
        <v>42</v>
      </c>
      <c r="I73" s="204">
        <f>SUBTOTAL(9,I68:I72)</f>
        <v>29.0016</v>
      </c>
      <c r="J73" s="203">
        <f>H73/G73</f>
        <v>0.76363636363636367</v>
      </c>
      <c r="K73" s="203">
        <f>I73/G73</f>
        <v>0.5273018181818182</v>
      </c>
      <c r="L73" s="206">
        <f t="shared" si="2"/>
        <v>-0.23633454545454546</v>
      </c>
      <c r="M73" s="202"/>
      <c r="N73" s="204"/>
      <c r="O73" s="204">
        <f>SUBTOTAL(9,O68:O72)</f>
        <v>29.0016</v>
      </c>
    </row>
    <row r="74" spans="1:15" outlineLevel="2">
      <c r="A74" s="197" t="s">
        <v>1623</v>
      </c>
      <c r="B74" s="198" t="s">
        <v>1652</v>
      </c>
      <c r="C74" s="197" t="s">
        <v>1530</v>
      </c>
      <c r="D74" s="63">
        <v>44840</v>
      </c>
      <c r="E74" s="63">
        <v>44845</v>
      </c>
      <c r="F74" s="193">
        <v>1</v>
      </c>
      <c r="G74" s="73">
        <v>3</v>
      </c>
      <c r="H74" s="73">
        <v>3</v>
      </c>
      <c r="I74" s="73">
        <v>3</v>
      </c>
      <c r="J74" s="193">
        <v>1</v>
      </c>
      <c r="K74" s="193">
        <v>1</v>
      </c>
      <c r="L74" s="193">
        <f t="shared" si="2"/>
        <v>0</v>
      </c>
      <c r="M74" s="63">
        <v>44840</v>
      </c>
      <c r="N74" s="63">
        <v>44845</v>
      </c>
      <c r="O74" s="73">
        <v>3</v>
      </c>
    </row>
    <row r="75" spans="1:15" outlineLevel="2">
      <c r="A75" s="197" t="s">
        <v>1623</v>
      </c>
      <c r="B75" s="198" t="s">
        <v>1654</v>
      </c>
      <c r="C75" s="197" t="s">
        <v>1531</v>
      </c>
      <c r="D75" s="63">
        <v>44840</v>
      </c>
      <c r="E75" s="63">
        <v>44841</v>
      </c>
      <c r="F75" s="193">
        <v>1</v>
      </c>
      <c r="G75" s="73">
        <v>2</v>
      </c>
      <c r="H75" s="73">
        <v>2</v>
      </c>
      <c r="I75" s="73">
        <v>2</v>
      </c>
      <c r="J75" s="193">
        <v>1</v>
      </c>
      <c r="K75" s="193">
        <v>1</v>
      </c>
      <c r="L75" s="193">
        <f t="shared" si="2"/>
        <v>0</v>
      </c>
      <c r="M75" s="63">
        <v>44840</v>
      </c>
      <c r="N75" s="63">
        <v>44841</v>
      </c>
      <c r="O75" s="73">
        <v>2</v>
      </c>
    </row>
    <row r="76" spans="1:15" outlineLevel="2">
      <c r="A76" s="197" t="s">
        <v>1623</v>
      </c>
      <c r="B76" s="198" t="s">
        <v>1655</v>
      </c>
      <c r="C76" s="197" t="s">
        <v>1532</v>
      </c>
      <c r="D76" s="63">
        <v>44845</v>
      </c>
      <c r="E76" s="63">
        <v>44846</v>
      </c>
      <c r="F76" s="193">
        <v>1</v>
      </c>
      <c r="G76" s="73">
        <v>2</v>
      </c>
      <c r="H76" s="73">
        <v>2</v>
      </c>
      <c r="I76" s="73">
        <v>2</v>
      </c>
      <c r="J76" s="193">
        <v>1</v>
      </c>
      <c r="K76" s="193">
        <v>1</v>
      </c>
      <c r="L76" s="193">
        <f t="shared" si="2"/>
        <v>0</v>
      </c>
      <c r="M76" s="63">
        <v>44845</v>
      </c>
      <c r="N76" s="63">
        <v>44846</v>
      </c>
      <c r="O76" s="73">
        <v>2</v>
      </c>
    </row>
    <row r="77" spans="1:15" outlineLevel="2">
      <c r="A77" s="197" t="s">
        <v>1623</v>
      </c>
      <c r="B77" s="198" t="s">
        <v>1656</v>
      </c>
      <c r="C77" s="197" t="s">
        <v>1533</v>
      </c>
      <c r="D77" s="63">
        <v>44847</v>
      </c>
      <c r="E77" s="63">
        <v>44851</v>
      </c>
      <c r="F77" s="193">
        <v>1</v>
      </c>
      <c r="G77" s="73">
        <v>3</v>
      </c>
      <c r="H77" s="73">
        <v>2</v>
      </c>
      <c r="I77" s="73">
        <v>3</v>
      </c>
      <c r="J77" s="193">
        <v>0.66666666666666663</v>
      </c>
      <c r="K77" s="193">
        <v>1</v>
      </c>
      <c r="L77" s="193">
        <f t="shared" si="2"/>
        <v>0.33333333333333337</v>
      </c>
      <c r="M77" s="63">
        <v>44847</v>
      </c>
      <c r="N77" s="63">
        <v>44851</v>
      </c>
      <c r="O77" s="73">
        <v>3</v>
      </c>
    </row>
    <row r="78" spans="1:15" outlineLevel="2">
      <c r="A78" s="197" t="s">
        <v>1623</v>
      </c>
      <c r="B78" s="198" t="s">
        <v>1659</v>
      </c>
      <c r="C78" s="197" t="s">
        <v>1536</v>
      </c>
      <c r="D78" s="63">
        <v>44852</v>
      </c>
      <c r="E78" s="63">
        <v>44852</v>
      </c>
      <c r="F78" s="193">
        <v>1</v>
      </c>
      <c r="G78" s="73">
        <v>1</v>
      </c>
      <c r="H78" s="73">
        <v>0</v>
      </c>
      <c r="I78" s="73">
        <v>0</v>
      </c>
      <c r="J78" s="193">
        <v>0</v>
      </c>
      <c r="K78" s="193">
        <v>0</v>
      </c>
      <c r="L78" s="193">
        <f t="shared" si="2"/>
        <v>0</v>
      </c>
      <c r="O78" s="73">
        <v>0</v>
      </c>
    </row>
    <row r="79" spans="1:15" outlineLevel="2">
      <c r="A79" s="197" t="s">
        <v>1623</v>
      </c>
      <c r="B79" s="198" t="s">
        <v>1660</v>
      </c>
      <c r="C79" s="197" t="s">
        <v>1537</v>
      </c>
      <c r="D79" s="63">
        <v>44853</v>
      </c>
      <c r="E79" s="63">
        <v>44853</v>
      </c>
      <c r="F79" s="193">
        <v>1</v>
      </c>
      <c r="G79" s="73">
        <v>1</v>
      </c>
      <c r="H79" s="73">
        <v>0</v>
      </c>
      <c r="I79" s="73">
        <v>0</v>
      </c>
      <c r="J79" s="193">
        <v>0</v>
      </c>
      <c r="K79" s="193">
        <v>0</v>
      </c>
      <c r="L79" s="193">
        <f t="shared" si="2"/>
        <v>0</v>
      </c>
      <c r="O79" s="73">
        <v>0</v>
      </c>
    </row>
    <row r="80" spans="1:15" outlineLevel="2">
      <c r="A80" s="197" t="s">
        <v>1623</v>
      </c>
      <c r="B80" s="198" t="s">
        <v>1661</v>
      </c>
      <c r="C80" s="197" t="s">
        <v>1538</v>
      </c>
      <c r="D80" s="63">
        <v>44854</v>
      </c>
      <c r="E80" s="63">
        <v>44854</v>
      </c>
      <c r="F80" s="193">
        <v>1</v>
      </c>
      <c r="G80" s="73">
        <v>1</v>
      </c>
      <c r="H80" s="73">
        <v>0</v>
      </c>
      <c r="I80" s="73">
        <v>0</v>
      </c>
      <c r="J80" s="193">
        <v>0</v>
      </c>
      <c r="K80" s="193">
        <v>0</v>
      </c>
      <c r="L80" s="193">
        <f t="shared" si="2"/>
        <v>0</v>
      </c>
      <c r="O80" s="73">
        <v>0</v>
      </c>
    </row>
    <row r="81" spans="1:15" outlineLevel="2">
      <c r="A81" s="197" t="s">
        <v>1623</v>
      </c>
      <c r="B81" s="198" t="s">
        <v>1662</v>
      </c>
      <c r="C81" s="197" t="s">
        <v>1539</v>
      </c>
      <c r="D81" s="63">
        <v>44855</v>
      </c>
      <c r="E81" s="63">
        <v>44855</v>
      </c>
      <c r="F81" s="193">
        <v>1</v>
      </c>
      <c r="G81" s="73">
        <v>1</v>
      </c>
      <c r="H81" s="73">
        <v>0</v>
      </c>
      <c r="I81" s="73">
        <v>0</v>
      </c>
      <c r="J81" s="193">
        <v>0</v>
      </c>
      <c r="K81" s="193">
        <v>0</v>
      </c>
      <c r="L81" s="193">
        <f t="shared" si="2"/>
        <v>0</v>
      </c>
      <c r="O81" s="73">
        <v>0</v>
      </c>
    </row>
    <row r="82" spans="1:15" outlineLevel="2">
      <c r="A82" s="197" t="s">
        <v>1623</v>
      </c>
      <c r="B82" s="198" t="s">
        <v>1664</v>
      </c>
      <c r="C82" s="197" t="s">
        <v>1541</v>
      </c>
      <c r="D82" s="63">
        <v>44858</v>
      </c>
      <c r="E82" s="63">
        <v>44860</v>
      </c>
      <c r="F82" s="193">
        <v>1</v>
      </c>
      <c r="G82" s="73">
        <v>3</v>
      </c>
      <c r="H82" s="73">
        <v>0</v>
      </c>
      <c r="I82" s="73">
        <v>0</v>
      </c>
      <c r="J82" s="193">
        <v>0</v>
      </c>
      <c r="K82" s="193">
        <v>0</v>
      </c>
      <c r="L82" s="193">
        <f t="shared" si="2"/>
        <v>0</v>
      </c>
      <c r="O82" s="73">
        <v>0</v>
      </c>
    </row>
    <row r="83" spans="1:15" outlineLevel="2">
      <c r="A83" s="197" t="s">
        <v>1623</v>
      </c>
      <c r="B83" s="198" t="s">
        <v>1665</v>
      </c>
      <c r="C83" s="197" t="s">
        <v>1542</v>
      </c>
      <c r="D83" s="63">
        <v>44861</v>
      </c>
      <c r="E83" s="63">
        <v>44865</v>
      </c>
      <c r="F83" s="193">
        <v>1</v>
      </c>
      <c r="G83" s="73">
        <v>3</v>
      </c>
      <c r="H83" s="73">
        <v>0</v>
      </c>
      <c r="I83" s="73">
        <v>0</v>
      </c>
      <c r="J83" s="193">
        <v>0</v>
      </c>
      <c r="K83" s="193">
        <v>0</v>
      </c>
      <c r="L83" s="193">
        <f t="shared" si="2"/>
        <v>0</v>
      </c>
      <c r="O83" s="73">
        <v>0</v>
      </c>
    </row>
    <row r="84" spans="1:15" outlineLevel="2">
      <c r="A84" s="197" t="s">
        <v>1623</v>
      </c>
      <c r="B84" s="198" t="s">
        <v>1667</v>
      </c>
      <c r="C84" s="197" t="s">
        <v>1544</v>
      </c>
      <c r="D84" s="63">
        <v>44866</v>
      </c>
      <c r="E84" s="63">
        <v>44872</v>
      </c>
      <c r="F84" s="193">
        <v>1</v>
      </c>
      <c r="G84" s="73">
        <v>5</v>
      </c>
      <c r="H84" s="73">
        <v>0</v>
      </c>
      <c r="I84" s="73">
        <v>0</v>
      </c>
      <c r="J84" s="193">
        <v>0</v>
      </c>
      <c r="K84" s="193">
        <v>0</v>
      </c>
      <c r="L84" s="193">
        <f t="shared" si="2"/>
        <v>0</v>
      </c>
      <c r="O84" s="73">
        <v>0</v>
      </c>
    </row>
    <row r="85" spans="1:15" outlineLevel="2">
      <c r="A85" s="197" t="s">
        <v>1623</v>
      </c>
      <c r="B85" s="198" t="s">
        <v>1668</v>
      </c>
      <c r="C85" s="197" t="s">
        <v>1545</v>
      </c>
      <c r="D85" s="63">
        <v>44873</v>
      </c>
      <c r="E85" s="63">
        <v>44875</v>
      </c>
      <c r="F85" s="193">
        <v>1</v>
      </c>
      <c r="G85" s="73">
        <v>3</v>
      </c>
      <c r="H85" s="73">
        <v>0</v>
      </c>
      <c r="I85" s="73">
        <v>0</v>
      </c>
      <c r="J85" s="193">
        <v>0</v>
      </c>
      <c r="K85" s="193">
        <v>0</v>
      </c>
      <c r="L85" s="193">
        <f t="shared" si="2"/>
        <v>0</v>
      </c>
      <c r="O85" s="73">
        <v>0</v>
      </c>
    </row>
    <row r="86" spans="1:15" outlineLevel="2">
      <c r="A86" s="197" t="s">
        <v>1623</v>
      </c>
      <c r="B86" s="198" t="s">
        <v>1669</v>
      </c>
      <c r="C86" s="197" t="s">
        <v>1546</v>
      </c>
      <c r="D86" s="63">
        <v>44876</v>
      </c>
      <c r="E86" s="63">
        <v>44880</v>
      </c>
      <c r="F86" s="193">
        <v>1</v>
      </c>
      <c r="G86" s="73">
        <v>3</v>
      </c>
      <c r="H86" s="73">
        <v>0</v>
      </c>
      <c r="I86" s="73">
        <v>0</v>
      </c>
      <c r="J86" s="193">
        <v>0</v>
      </c>
      <c r="K86" s="193">
        <v>0</v>
      </c>
      <c r="L86" s="193">
        <f t="shared" si="2"/>
        <v>0</v>
      </c>
      <c r="O86" s="73">
        <v>0</v>
      </c>
    </row>
    <row r="87" spans="1:15" outlineLevel="2">
      <c r="A87" s="197" t="s">
        <v>1623</v>
      </c>
      <c r="B87" s="198" t="s">
        <v>1670</v>
      </c>
      <c r="C87" s="197" t="s">
        <v>1547</v>
      </c>
      <c r="D87" s="63">
        <v>44881</v>
      </c>
      <c r="E87" s="63">
        <v>44883</v>
      </c>
      <c r="F87" s="193">
        <v>1</v>
      </c>
      <c r="G87" s="73">
        <v>3</v>
      </c>
      <c r="H87" s="73">
        <v>0</v>
      </c>
      <c r="I87" s="73">
        <v>0</v>
      </c>
      <c r="J87" s="193">
        <v>0</v>
      </c>
      <c r="K87" s="193">
        <v>0</v>
      </c>
      <c r="L87" s="193">
        <f t="shared" si="2"/>
        <v>0</v>
      </c>
      <c r="O87" s="73">
        <v>0</v>
      </c>
    </row>
    <row r="88" spans="1:15" outlineLevel="2">
      <c r="A88" s="197" t="s">
        <v>1623</v>
      </c>
      <c r="B88" s="198" t="s">
        <v>1671</v>
      </c>
      <c r="C88" s="197" t="s">
        <v>1548</v>
      </c>
      <c r="D88" s="63">
        <v>44886</v>
      </c>
      <c r="E88" s="63">
        <v>44888</v>
      </c>
      <c r="F88" s="193">
        <v>1</v>
      </c>
      <c r="G88" s="73">
        <v>3</v>
      </c>
      <c r="H88" s="73">
        <v>0</v>
      </c>
      <c r="I88" s="73">
        <v>0</v>
      </c>
      <c r="J88" s="193">
        <v>0</v>
      </c>
      <c r="K88" s="193">
        <v>0</v>
      </c>
      <c r="L88" s="193">
        <f t="shared" si="2"/>
        <v>0</v>
      </c>
      <c r="O88" s="73">
        <v>0</v>
      </c>
    </row>
    <row r="89" spans="1:15" outlineLevel="2">
      <c r="A89" s="197" t="s">
        <v>1623</v>
      </c>
      <c r="B89" s="198" t="s">
        <v>1672</v>
      </c>
      <c r="C89" s="197" t="s">
        <v>1549</v>
      </c>
      <c r="D89" s="63">
        <v>44889</v>
      </c>
      <c r="E89" s="63">
        <v>44893</v>
      </c>
      <c r="F89" s="193">
        <v>1</v>
      </c>
      <c r="G89" s="73">
        <v>3</v>
      </c>
      <c r="H89" s="73">
        <v>0</v>
      </c>
      <c r="I89" s="73">
        <v>0</v>
      </c>
      <c r="J89" s="193">
        <v>0</v>
      </c>
      <c r="K89" s="193">
        <v>0</v>
      </c>
      <c r="L89" s="193">
        <f t="shared" si="2"/>
        <v>0</v>
      </c>
      <c r="O89" s="73">
        <v>0</v>
      </c>
    </row>
    <row r="90" spans="1:15" outlineLevel="2">
      <c r="A90" s="197" t="s">
        <v>1623</v>
      </c>
      <c r="B90" s="198" t="s">
        <v>1674</v>
      </c>
      <c r="C90" s="197" t="s">
        <v>1551</v>
      </c>
      <c r="D90" s="63">
        <v>44894</v>
      </c>
      <c r="E90" s="63">
        <v>44900</v>
      </c>
      <c r="F90" s="193">
        <v>1</v>
      </c>
      <c r="G90" s="73">
        <v>5</v>
      </c>
      <c r="H90" s="73">
        <v>0</v>
      </c>
      <c r="I90" s="73">
        <v>5</v>
      </c>
      <c r="J90" s="193">
        <v>0</v>
      </c>
      <c r="K90" s="193">
        <v>1</v>
      </c>
      <c r="L90" s="193">
        <f t="shared" si="2"/>
        <v>1</v>
      </c>
      <c r="M90" s="63">
        <v>44894</v>
      </c>
      <c r="N90" s="63">
        <v>44900</v>
      </c>
      <c r="O90" s="73">
        <v>5</v>
      </c>
    </row>
    <row r="91" spans="1:15" outlineLevel="2">
      <c r="A91" s="197" t="s">
        <v>1623</v>
      </c>
      <c r="B91" s="198" t="s">
        <v>1675</v>
      </c>
      <c r="C91" s="197" t="s">
        <v>1552</v>
      </c>
      <c r="D91" s="63">
        <v>44901</v>
      </c>
      <c r="E91" s="63">
        <v>44907</v>
      </c>
      <c r="F91" s="193">
        <v>1</v>
      </c>
      <c r="G91" s="73">
        <v>5</v>
      </c>
      <c r="H91" s="73">
        <v>0</v>
      </c>
      <c r="I91" s="73">
        <v>0</v>
      </c>
      <c r="J91" s="193">
        <v>0</v>
      </c>
      <c r="K91" s="193">
        <v>0</v>
      </c>
      <c r="L91" s="193">
        <f t="shared" si="2"/>
        <v>0</v>
      </c>
      <c r="O91" s="73">
        <v>0</v>
      </c>
    </row>
    <row r="92" spans="1:15" outlineLevel="2">
      <c r="A92" s="197" t="s">
        <v>1623</v>
      </c>
      <c r="B92" s="198" t="s">
        <v>1676</v>
      </c>
      <c r="C92" s="197" t="s">
        <v>1516</v>
      </c>
      <c r="D92" s="63">
        <v>44908</v>
      </c>
      <c r="E92" s="63">
        <v>44915</v>
      </c>
      <c r="F92" s="193">
        <v>1</v>
      </c>
      <c r="G92" s="73">
        <v>6</v>
      </c>
      <c r="H92" s="73">
        <v>0</v>
      </c>
      <c r="I92" s="73">
        <v>0</v>
      </c>
      <c r="J92" s="193">
        <v>0</v>
      </c>
      <c r="K92" s="193">
        <v>0</v>
      </c>
      <c r="L92" s="193">
        <f t="shared" si="2"/>
        <v>0</v>
      </c>
      <c r="O92" s="73">
        <v>0</v>
      </c>
    </row>
    <row r="93" spans="1:15" outlineLevel="2">
      <c r="A93" s="197" t="s">
        <v>1623</v>
      </c>
      <c r="B93" s="198" t="s">
        <v>1677</v>
      </c>
      <c r="C93" s="197" t="s">
        <v>1517</v>
      </c>
      <c r="D93" s="63">
        <v>44916</v>
      </c>
      <c r="E93" s="63">
        <v>44924</v>
      </c>
      <c r="F93" s="193">
        <v>1</v>
      </c>
      <c r="G93" s="73">
        <v>7</v>
      </c>
      <c r="H93" s="73">
        <v>0</v>
      </c>
      <c r="I93" s="73">
        <v>0</v>
      </c>
      <c r="J93" s="193">
        <v>0</v>
      </c>
      <c r="K93" s="193">
        <v>0</v>
      </c>
      <c r="L93" s="193">
        <f t="shared" si="2"/>
        <v>0</v>
      </c>
      <c r="O93" s="73">
        <v>0</v>
      </c>
    </row>
    <row r="94" spans="1:15" outlineLevel="2">
      <c r="A94" s="197" t="s">
        <v>1623</v>
      </c>
      <c r="B94" s="198" t="s">
        <v>1678</v>
      </c>
      <c r="C94" s="197" t="s">
        <v>1553</v>
      </c>
      <c r="D94" s="63">
        <v>44925</v>
      </c>
      <c r="E94" s="63">
        <v>44925</v>
      </c>
      <c r="F94" s="193">
        <v>1</v>
      </c>
      <c r="G94" s="73">
        <v>1</v>
      </c>
      <c r="H94" s="73">
        <v>0</v>
      </c>
      <c r="I94" s="73">
        <v>0</v>
      </c>
      <c r="J94" s="193">
        <v>0</v>
      </c>
      <c r="K94" s="193">
        <v>0</v>
      </c>
      <c r="L94" s="193">
        <f t="shared" si="2"/>
        <v>0</v>
      </c>
      <c r="O94" s="73">
        <v>0</v>
      </c>
    </row>
    <row r="95" spans="1:15" outlineLevel="1">
      <c r="A95" s="199" t="s">
        <v>1784</v>
      </c>
      <c r="B95" s="200"/>
      <c r="C95" s="201"/>
      <c r="D95" s="202"/>
      <c r="E95" s="202"/>
      <c r="F95" s="203"/>
      <c r="G95" s="204">
        <f>SUBTOTAL(9,G74:G94)</f>
        <v>64</v>
      </c>
      <c r="H95" s="204">
        <f>SUBTOTAL(9,H74:H94)</f>
        <v>9</v>
      </c>
      <c r="I95" s="204">
        <f>SUBTOTAL(9,I74:I94)</f>
        <v>15</v>
      </c>
      <c r="J95" s="203">
        <f>H95/G95</f>
        <v>0.140625</v>
      </c>
      <c r="K95" s="203">
        <f>I95/G95</f>
        <v>0.234375</v>
      </c>
      <c r="L95" s="203">
        <f t="shared" si="2"/>
        <v>9.375E-2</v>
      </c>
      <c r="M95" s="204"/>
      <c r="N95" s="204"/>
      <c r="O95" s="204">
        <f>SUBTOTAL(9,O74:O94)</f>
        <v>15</v>
      </c>
    </row>
    <row r="96" spans="1:15" outlineLevel="2">
      <c r="A96" s="197" t="s">
        <v>1620</v>
      </c>
      <c r="B96" s="198" t="s">
        <v>1628</v>
      </c>
      <c r="C96" s="197" t="s">
        <v>1508</v>
      </c>
      <c r="D96" s="63">
        <v>44838</v>
      </c>
      <c r="E96" s="63">
        <v>44839</v>
      </c>
      <c r="F96" s="193">
        <v>1</v>
      </c>
      <c r="G96" s="73">
        <v>2</v>
      </c>
      <c r="H96" s="73">
        <v>2</v>
      </c>
      <c r="I96" s="73">
        <v>2</v>
      </c>
      <c r="J96" s="193">
        <v>1</v>
      </c>
      <c r="K96" s="193">
        <v>1</v>
      </c>
      <c r="L96" s="193">
        <f t="shared" si="2"/>
        <v>0</v>
      </c>
      <c r="M96" s="63">
        <v>44838</v>
      </c>
      <c r="N96" s="63">
        <v>44839</v>
      </c>
      <c r="O96" s="73">
        <v>2</v>
      </c>
    </row>
    <row r="97" spans="1:15" outlineLevel="2">
      <c r="A97" s="197" t="s">
        <v>1620</v>
      </c>
      <c r="B97" s="198" t="s">
        <v>1788</v>
      </c>
      <c r="C97" s="197" t="s">
        <v>1499</v>
      </c>
      <c r="D97" s="63">
        <v>44840</v>
      </c>
      <c r="E97" s="63">
        <v>44873</v>
      </c>
      <c r="F97" s="193">
        <v>0</v>
      </c>
      <c r="G97" s="73">
        <v>0</v>
      </c>
      <c r="H97" s="73">
        <v>0</v>
      </c>
      <c r="I97" s="73">
        <v>0</v>
      </c>
      <c r="J97" s="193">
        <v>0.2608695652173913</v>
      </c>
      <c r="K97" s="193">
        <v>1</v>
      </c>
      <c r="L97" s="193">
        <f t="shared" si="2"/>
        <v>0.73913043478260865</v>
      </c>
      <c r="M97" s="63">
        <v>44840</v>
      </c>
      <c r="N97" s="63">
        <v>44848</v>
      </c>
      <c r="O97" s="73">
        <v>0</v>
      </c>
    </row>
    <row r="98" spans="1:15" outlineLevel="2">
      <c r="A98" s="197" t="s">
        <v>1620</v>
      </c>
      <c r="B98" s="198" t="s">
        <v>1789</v>
      </c>
      <c r="C98" s="197" t="s">
        <v>1509</v>
      </c>
      <c r="D98" s="63">
        <v>44840</v>
      </c>
      <c r="E98" s="63">
        <v>44851</v>
      </c>
      <c r="F98" s="193">
        <v>1</v>
      </c>
      <c r="G98" s="73">
        <v>7</v>
      </c>
      <c r="H98" s="73">
        <v>6</v>
      </c>
      <c r="I98" s="73">
        <v>6.02</v>
      </c>
      <c r="J98" s="193">
        <v>0.8571428571428571</v>
      </c>
      <c r="K98" s="193">
        <v>0.86</v>
      </c>
      <c r="L98" s="193">
        <f t="shared" si="2"/>
        <v>2.8571428571428914E-3</v>
      </c>
      <c r="M98" s="63">
        <v>44840</v>
      </c>
      <c r="O98" s="73">
        <v>6.02</v>
      </c>
    </row>
    <row r="99" spans="1:15" outlineLevel="2">
      <c r="A99" s="197" t="s">
        <v>1620</v>
      </c>
      <c r="B99" s="198" t="s">
        <v>1790</v>
      </c>
      <c r="C99" s="197" t="s">
        <v>1510</v>
      </c>
      <c r="D99" s="63">
        <v>44852</v>
      </c>
      <c r="E99" s="63">
        <v>44852</v>
      </c>
      <c r="F99" s="193">
        <v>1</v>
      </c>
      <c r="G99" s="73">
        <v>1</v>
      </c>
      <c r="H99" s="73">
        <v>0</v>
      </c>
      <c r="I99" s="73">
        <v>0</v>
      </c>
      <c r="J99" s="193">
        <v>0</v>
      </c>
      <c r="K99" s="193">
        <v>0</v>
      </c>
      <c r="L99" s="193">
        <f t="shared" si="2"/>
        <v>0</v>
      </c>
      <c r="O99" s="73">
        <v>0</v>
      </c>
    </row>
    <row r="100" spans="1:15" outlineLevel="2">
      <c r="A100" s="197" t="s">
        <v>1620</v>
      </c>
      <c r="B100" s="198" t="s">
        <v>1791</v>
      </c>
      <c r="C100" s="197" t="s">
        <v>1511</v>
      </c>
      <c r="D100" s="63">
        <v>44853</v>
      </c>
      <c r="E100" s="63">
        <v>44855</v>
      </c>
      <c r="F100" s="193">
        <v>1</v>
      </c>
      <c r="G100" s="73">
        <v>3</v>
      </c>
      <c r="H100" s="73">
        <v>0</v>
      </c>
      <c r="I100" s="73">
        <v>0</v>
      </c>
      <c r="J100" s="193">
        <v>0</v>
      </c>
      <c r="K100" s="193">
        <v>0</v>
      </c>
      <c r="L100" s="193">
        <f t="shared" si="2"/>
        <v>0</v>
      </c>
      <c r="O100" s="73">
        <v>0</v>
      </c>
    </row>
    <row r="101" spans="1:15" outlineLevel="2">
      <c r="A101" s="197" t="s">
        <v>1620</v>
      </c>
      <c r="B101" s="198" t="s">
        <v>1792</v>
      </c>
      <c r="C101" s="197" t="s">
        <v>1512</v>
      </c>
      <c r="D101" s="63">
        <v>44858</v>
      </c>
      <c r="E101" s="63">
        <v>44860</v>
      </c>
      <c r="F101" s="193">
        <v>1</v>
      </c>
      <c r="G101" s="73">
        <v>3</v>
      </c>
      <c r="H101" s="73">
        <v>0</v>
      </c>
      <c r="I101" s="73">
        <v>0</v>
      </c>
      <c r="J101" s="193">
        <v>0</v>
      </c>
      <c r="K101" s="193">
        <v>0</v>
      </c>
      <c r="L101" s="193">
        <f t="shared" si="2"/>
        <v>0</v>
      </c>
      <c r="O101" s="73">
        <v>0</v>
      </c>
    </row>
    <row r="102" spans="1:15" outlineLevel="2">
      <c r="A102" s="197" t="s">
        <v>1620</v>
      </c>
      <c r="B102" s="198" t="s">
        <v>1793</v>
      </c>
      <c r="C102" s="197" t="s">
        <v>1513</v>
      </c>
      <c r="D102" s="63">
        <v>44861</v>
      </c>
      <c r="E102" s="63">
        <v>44865</v>
      </c>
      <c r="F102" s="193">
        <v>1</v>
      </c>
      <c r="G102" s="73">
        <v>3</v>
      </c>
      <c r="H102" s="73">
        <v>0</v>
      </c>
      <c r="I102" s="73">
        <v>0</v>
      </c>
      <c r="J102" s="193">
        <v>0</v>
      </c>
      <c r="K102" s="193">
        <v>0</v>
      </c>
      <c r="L102" s="193">
        <f t="shared" si="2"/>
        <v>0</v>
      </c>
      <c r="O102" s="73">
        <v>0</v>
      </c>
    </row>
    <row r="103" spans="1:15" outlineLevel="2">
      <c r="A103" s="197" t="s">
        <v>1620</v>
      </c>
      <c r="B103" s="198" t="s">
        <v>1794</v>
      </c>
      <c r="C103" s="197" t="s">
        <v>1515</v>
      </c>
      <c r="D103" s="63">
        <v>44866</v>
      </c>
      <c r="E103" s="63">
        <v>44867</v>
      </c>
      <c r="F103" s="193">
        <v>1</v>
      </c>
      <c r="G103" s="73">
        <v>2</v>
      </c>
      <c r="H103" s="73">
        <v>0</v>
      </c>
      <c r="I103" s="73">
        <v>0</v>
      </c>
      <c r="J103" s="193">
        <v>0</v>
      </c>
      <c r="K103" s="193">
        <v>0</v>
      </c>
      <c r="L103" s="193">
        <f t="shared" ref="L103:L134" si="3">K103-J103</f>
        <v>0</v>
      </c>
      <c r="O103" s="73">
        <v>0</v>
      </c>
    </row>
    <row r="104" spans="1:15" outlineLevel="2">
      <c r="A104" s="197" t="s">
        <v>1620</v>
      </c>
      <c r="B104" s="198" t="s">
        <v>1795</v>
      </c>
      <c r="C104" s="197" t="s">
        <v>1516</v>
      </c>
      <c r="D104" s="63">
        <v>44868</v>
      </c>
      <c r="E104" s="63">
        <v>44869</v>
      </c>
      <c r="F104" s="193">
        <v>1</v>
      </c>
      <c r="G104" s="73">
        <v>2</v>
      </c>
      <c r="H104" s="73">
        <v>0</v>
      </c>
      <c r="I104" s="73">
        <v>0</v>
      </c>
      <c r="J104" s="193">
        <v>0</v>
      </c>
      <c r="K104" s="193">
        <v>0</v>
      </c>
      <c r="L104" s="193">
        <f t="shared" si="3"/>
        <v>0</v>
      </c>
      <c r="O104" s="73">
        <v>0</v>
      </c>
    </row>
    <row r="105" spans="1:15" outlineLevel="2">
      <c r="A105" s="197" t="s">
        <v>1620</v>
      </c>
      <c r="B105" s="198" t="s">
        <v>1796</v>
      </c>
      <c r="C105" s="197" t="s">
        <v>1517</v>
      </c>
      <c r="D105" s="63">
        <v>44872</v>
      </c>
      <c r="E105" s="63">
        <v>44873</v>
      </c>
      <c r="F105" s="193">
        <v>1</v>
      </c>
      <c r="G105" s="73">
        <v>2</v>
      </c>
      <c r="H105" s="73">
        <v>0</v>
      </c>
      <c r="I105" s="73">
        <v>0</v>
      </c>
      <c r="J105" s="193">
        <v>0</v>
      </c>
      <c r="K105" s="193">
        <v>0</v>
      </c>
      <c r="L105" s="193">
        <f t="shared" si="3"/>
        <v>0</v>
      </c>
      <c r="O105" s="73">
        <v>0</v>
      </c>
    </row>
    <row r="106" spans="1:15" outlineLevel="2">
      <c r="A106" s="197" t="s">
        <v>1620</v>
      </c>
      <c r="B106" s="198" t="s">
        <v>1629</v>
      </c>
      <c r="C106" s="197" t="s">
        <v>1501</v>
      </c>
      <c r="D106" s="63">
        <v>44875</v>
      </c>
      <c r="E106" s="63">
        <v>44895</v>
      </c>
      <c r="F106" s="193">
        <v>1</v>
      </c>
      <c r="G106" s="73">
        <v>15</v>
      </c>
      <c r="H106" s="73">
        <v>0</v>
      </c>
      <c r="I106" s="73">
        <v>0</v>
      </c>
      <c r="J106" s="193">
        <v>0</v>
      </c>
      <c r="K106" s="193">
        <v>0</v>
      </c>
      <c r="L106" s="193">
        <f t="shared" si="3"/>
        <v>0</v>
      </c>
      <c r="O106" s="73">
        <v>0</v>
      </c>
    </row>
    <row r="107" spans="1:15" outlineLevel="1">
      <c r="A107" s="199" t="s">
        <v>1785</v>
      </c>
      <c r="B107" s="200"/>
      <c r="C107" s="201"/>
      <c r="D107" s="202"/>
      <c r="E107" s="202"/>
      <c r="F107" s="203"/>
      <c r="G107" s="204">
        <f>SUBTOTAL(9,G96:G106)</f>
        <v>40</v>
      </c>
      <c r="H107" s="204">
        <f>SUBTOTAL(9,H96:H106)</f>
        <v>8</v>
      </c>
      <c r="I107" s="204">
        <f>SUBTOTAL(9,I96:I106)</f>
        <v>8.02</v>
      </c>
      <c r="J107" s="203">
        <f>H107/G107</f>
        <v>0.2</v>
      </c>
      <c r="K107" s="203">
        <f>I107/G107</f>
        <v>0.20049999999999998</v>
      </c>
      <c r="L107" s="203">
        <f t="shared" si="3"/>
        <v>4.9999999999997269E-4</v>
      </c>
      <c r="M107" s="204"/>
      <c r="N107" s="204"/>
      <c r="O107" s="204">
        <f>SUBTOTAL(9,O96:O106)</f>
        <v>8.02</v>
      </c>
    </row>
    <row r="108" spans="1:15" outlineLevel="2">
      <c r="A108" s="197" t="s">
        <v>1619</v>
      </c>
      <c r="B108" s="198" t="s">
        <v>1459</v>
      </c>
      <c r="C108" s="197" t="s">
        <v>1501</v>
      </c>
      <c r="D108" s="63">
        <v>44853</v>
      </c>
      <c r="E108" s="63">
        <v>44865</v>
      </c>
      <c r="F108" s="193">
        <v>1</v>
      </c>
      <c r="G108" s="73">
        <v>9</v>
      </c>
      <c r="H108" s="73">
        <v>0</v>
      </c>
      <c r="I108" s="73">
        <v>0</v>
      </c>
      <c r="J108" s="193">
        <v>0</v>
      </c>
      <c r="K108" s="193">
        <v>0</v>
      </c>
      <c r="L108" s="193">
        <f t="shared" si="3"/>
        <v>0</v>
      </c>
      <c r="O108" s="73">
        <v>0</v>
      </c>
    </row>
    <row r="109" spans="1:15" outlineLevel="2">
      <c r="A109" s="197" t="s">
        <v>1619</v>
      </c>
      <c r="B109" s="198" t="s">
        <v>1624</v>
      </c>
      <c r="C109" s="197" t="s">
        <v>1503</v>
      </c>
      <c r="D109" s="63">
        <v>44830</v>
      </c>
      <c r="E109" s="63">
        <v>44832</v>
      </c>
      <c r="F109" s="193">
        <v>1</v>
      </c>
      <c r="G109" s="73">
        <v>3</v>
      </c>
      <c r="H109" s="73">
        <v>3</v>
      </c>
      <c r="I109" s="73">
        <v>3</v>
      </c>
      <c r="J109" s="193">
        <v>1</v>
      </c>
      <c r="K109" s="193">
        <v>1</v>
      </c>
      <c r="L109" s="193">
        <f t="shared" si="3"/>
        <v>0</v>
      </c>
      <c r="M109" s="63">
        <v>44830</v>
      </c>
      <c r="N109" s="63">
        <v>44832</v>
      </c>
      <c r="O109" s="73">
        <v>3</v>
      </c>
    </row>
    <row r="110" spans="1:15" outlineLevel="2">
      <c r="A110" s="197" t="s">
        <v>1619</v>
      </c>
      <c r="B110" s="198" t="s">
        <v>1625</v>
      </c>
      <c r="C110" s="197" t="s">
        <v>1504</v>
      </c>
      <c r="D110" s="63">
        <v>44833</v>
      </c>
      <c r="E110" s="63">
        <v>44834</v>
      </c>
      <c r="F110" s="193">
        <v>1</v>
      </c>
      <c r="G110" s="73">
        <v>2</v>
      </c>
      <c r="H110" s="73">
        <v>2</v>
      </c>
      <c r="I110" s="73">
        <v>2</v>
      </c>
      <c r="J110" s="193">
        <v>1</v>
      </c>
      <c r="K110" s="193">
        <v>1</v>
      </c>
      <c r="L110" s="193">
        <f t="shared" si="3"/>
        <v>0</v>
      </c>
      <c r="M110" s="63">
        <v>44833</v>
      </c>
      <c r="N110" s="63">
        <v>44834</v>
      </c>
      <c r="O110" s="73">
        <v>2</v>
      </c>
    </row>
    <row r="111" spans="1:15" outlineLevel="2">
      <c r="A111" s="197" t="s">
        <v>1619</v>
      </c>
      <c r="B111" s="198" t="s">
        <v>1626</v>
      </c>
      <c r="C111" s="197" t="s">
        <v>1505</v>
      </c>
      <c r="D111" s="63">
        <v>44838</v>
      </c>
      <c r="E111" s="63">
        <v>44852</v>
      </c>
      <c r="F111" s="193">
        <v>1</v>
      </c>
      <c r="G111" s="73">
        <v>10</v>
      </c>
      <c r="H111" s="73">
        <v>8</v>
      </c>
      <c r="I111" s="73">
        <v>8</v>
      </c>
      <c r="J111" s="193">
        <v>0.8</v>
      </c>
      <c r="K111" s="193">
        <v>0.8</v>
      </c>
      <c r="L111" s="193">
        <f t="shared" si="3"/>
        <v>0</v>
      </c>
      <c r="M111" s="63">
        <v>44838</v>
      </c>
      <c r="O111" s="73">
        <v>8</v>
      </c>
    </row>
    <row r="112" spans="1:15" outlineLevel="1">
      <c r="A112" s="199" t="s">
        <v>1786</v>
      </c>
      <c r="B112" s="200"/>
      <c r="C112" s="201"/>
      <c r="D112" s="202"/>
      <c r="E112" s="202"/>
      <c r="F112" s="203"/>
      <c r="G112" s="204">
        <f>SUBTOTAL(9,G108:G111)</f>
        <v>24</v>
      </c>
      <c r="H112" s="204">
        <f>SUBTOTAL(9,H108:H111)</f>
        <v>13</v>
      </c>
      <c r="I112" s="204">
        <f>SUBTOTAL(9,I108:I111)</f>
        <v>13</v>
      </c>
      <c r="J112" s="203">
        <f>H112/G112</f>
        <v>0.54166666666666663</v>
      </c>
      <c r="K112" s="203">
        <f>I112/G112</f>
        <v>0.54166666666666663</v>
      </c>
      <c r="L112" s="203">
        <f t="shared" si="3"/>
        <v>0</v>
      </c>
      <c r="M112" s="202"/>
      <c r="N112" s="204"/>
      <c r="O112" s="204">
        <f>SUBTOTAL(9,O108:O111)</f>
        <v>13</v>
      </c>
    </row>
    <row r="113" spans="1:15" outlineLevel="2">
      <c r="A113" s="197" t="s">
        <v>1775</v>
      </c>
      <c r="B113" s="198" t="s">
        <v>1700</v>
      </c>
      <c r="C113" s="197" t="s">
        <v>1561</v>
      </c>
      <c r="D113" s="63">
        <v>44840</v>
      </c>
      <c r="E113" s="63">
        <v>44841</v>
      </c>
      <c r="F113" s="193">
        <v>1</v>
      </c>
      <c r="G113" s="73">
        <v>2</v>
      </c>
      <c r="H113" s="73">
        <v>2</v>
      </c>
      <c r="I113" s="73">
        <v>0</v>
      </c>
      <c r="J113" s="193">
        <v>1</v>
      </c>
      <c r="K113" s="193">
        <v>0</v>
      </c>
      <c r="L113" s="205">
        <f t="shared" si="3"/>
        <v>-1</v>
      </c>
      <c r="O113" s="73">
        <v>0</v>
      </c>
    </row>
    <row r="114" spans="1:15" outlineLevel="2">
      <c r="A114" s="197" t="s">
        <v>1775</v>
      </c>
      <c r="B114" s="198" t="s">
        <v>1701</v>
      </c>
      <c r="C114" s="197" t="s">
        <v>1562</v>
      </c>
      <c r="D114" s="63">
        <v>44845</v>
      </c>
      <c r="E114" s="63">
        <v>44845</v>
      </c>
      <c r="F114" s="193">
        <v>1</v>
      </c>
      <c r="G114" s="73">
        <v>1</v>
      </c>
      <c r="H114" s="73">
        <v>1</v>
      </c>
      <c r="I114" s="73">
        <v>1</v>
      </c>
      <c r="J114" s="193">
        <v>1</v>
      </c>
      <c r="K114" s="193">
        <v>1</v>
      </c>
      <c r="L114" s="193">
        <f t="shared" si="3"/>
        <v>0</v>
      </c>
      <c r="M114" s="63">
        <v>44845</v>
      </c>
      <c r="N114" s="63">
        <v>44845</v>
      </c>
      <c r="O114" s="73">
        <v>1</v>
      </c>
    </row>
    <row r="115" spans="1:15" outlineLevel="2">
      <c r="A115" s="197" t="s">
        <v>1775</v>
      </c>
      <c r="B115" s="198" t="s">
        <v>1703</v>
      </c>
      <c r="C115" s="197" t="s">
        <v>1564</v>
      </c>
      <c r="D115" s="63">
        <v>44846</v>
      </c>
      <c r="E115" s="63">
        <v>44852</v>
      </c>
      <c r="F115" s="193">
        <v>1</v>
      </c>
      <c r="G115" s="73">
        <v>5</v>
      </c>
      <c r="H115" s="73">
        <v>3</v>
      </c>
      <c r="I115" s="73">
        <v>0</v>
      </c>
      <c r="J115" s="193">
        <v>0.6</v>
      </c>
      <c r="K115" s="193">
        <v>0</v>
      </c>
      <c r="L115" s="205">
        <f t="shared" si="3"/>
        <v>-0.6</v>
      </c>
      <c r="O115" s="73">
        <v>0</v>
      </c>
    </row>
    <row r="116" spans="1:15" outlineLevel="2">
      <c r="A116" s="197" t="s">
        <v>1775</v>
      </c>
      <c r="B116" s="198" t="s">
        <v>1712</v>
      </c>
      <c r="C116" s="197" t="s">
        <v>1568</v>
      </c>
      <c r="D116" s="63">
        <v>44875</v>
      </c>
      <c r="E116" s="63">
        <v>44876</v>
      </c>
      <c r="F116" s="193">
        <v>1</v>
      </c>
      <c r="G116" s="73">
        <v>2</v>
      </c>
      <c r="H116" s="73">
        <v>0</v>
      </c>
      <c r="I116" s="73">
        <v>0</v>
      </c>
      <c r="J116" s="193">
        <v>0</v>
      </c>
      <c r="K116" s="193">
        <v>0</v>
      </c>
      <c r="L116" s="193">
        <f t="shared" si="3"/>
        <v>0</v>
      </c>
      <c r="O116" s="73">
        <v>0</v>
      </c>
    </row>
    <row r="117" spans="1:15" outlineLevel="2">
      <c r="A117" s="197" t="s">
        <v>1775</v>
      </c>
      <c r="B117" s="198" t="s">
        <v>1704</v>
      </c>
      <c r="C117" s="197" t="s">
        <v>1570</v>
      </c>
      <c r="D117" s="63">
        <v>44853</v>
      </c>
      <c r="E117" s="63">
        <v>44854</v>
      </c>
      <c r="F117" s="193">
        <v>1</v>
      </c>
      <c r="G117" s="73">
        <v>2</v>
      </c>
      <c r="H117" s="73">
        <v>0</v>
      </c>
      <c r="I117" s="73">
        <v>0</v>
      </c>
      <c r="J117" s="193">
        <v>0</v>
      </c>
      <c r="K117" s="193">
        <v>0</v>
      </c>
      <c r="L117" s="193">
        <f t="shared" si="3"/>
        <v>0</v>
      </c>
      <c r="O117" s="73">
        <v>0</v>
      </c>
    </row>
    <row r="118" spans="1:15" outlineLevel="2">
      <c r="A118" s="197" t="s">
        <v>1775</v>
      </c>
      <c r="B118" s="198" t="s">
        <v>1705</v>
      </c>
      <c r="C118" s="197" t="s">
        <v>1565</v>
      </c>
      <c r="D118" s="63">
        <v>44855</v>
      </c>
      <c r="E118" s="63">
        <v>44858</v>
      </c>
      <c r="F118" s="193">
        <v>1</v>
      </c>
      <c r="G118" s="73">
        <v>2</v>
      </c>
      <c r="H118" s="73">
        <v>0</v>
      </c>
      <c r="I118" s="73">
        <v>0</v>
      </c>
      <c r="J118" s="193">
        <v>0</v>
      </c>
      <c r="K118" s="193">
        <v>0</v>
      </c>
      <c r="L118" s="193">
        <f t="shared" si="3"/>
        <v>0</v>
      </c>
      <c r="O118" s="73">
        <v>0</v>
      </c>
    </row>
    <row r="119" spans="1:15" outlineLevel="2">
      <c r="A119" s="197" t="s">
        <v>1775</v>
      </c>
      <c r="B119" s="198" t="s">
        <v>1706</v>
      </c>
      <c r="C119" s="197" t="s">
        <v>1566</v>
      </c>
      <c r="D119" s="63">
        <v>44859</v>
      </c>
      <c r="E119" s="63">
        <v>44860</v>
      </c>
      <c r="F119" s="193">
        <v>1</v>
      </c>
      <c r="G119" s="73">
        <v>2</v>
      </c>
      <c r="H119" s="73">
        <v>0</v>
      </c>
      <c r="I119" s="73">
        <v>0</v>
      </c>
      <c r="J119" s="193">
        <v>0</v>
      </c>
      <c r="K119" s="193">
        <v>0</v>
      </c>
      <c r="L119" s="193">
        <f t="shared" si="3"/>
        <v>0</v>
      </c>
      <c r="O119" s="73">
        <v>0</v>
      </c>
    </row>
    <row r="120" spans="1:15" outlineLevel="2">
      <c r="A120" s="197" t="s">
        <v>1775</v>
      </c>
      <c r="B120" s="198" t="s">
        <v>1707</v>
      </c>
      <c r="C120" s="197" t="s">
        <v>1571</v>
      </c>
      <c r="D120" s="63">
        <v>44861</v>
      </c>
      <c r="E120" s="63">
        <v>44862</v>
      </c>
      <c r="F120" s="193">
        <v>1</v>
      </c>
      <c r="G120" s="73">
        <v>2</v>
      </c>
      <c r="H120" s="73">
        <v>0</v>
      </c>
      <c r="I120" s="73">
        <v>0</v>
      </c>
      <c r="J120" s="193">
        <v>0</v>
      </c>
      <c r="K120" s="193">
        <v>0</v>
      </c>
      <c r="L120" s="193">
        <f t="shared" si="3"/>
        <v>0</v>
      </c>
      <c r="O120" s="73">
        <v>0</v>
      </c>
    </row>
    <row r="121" spans="1:15" outlineLevel="2">
      <c r="A121" s="197" t="s">
        <v>1775</v>
      </c>
      <c r="B121" s="198" t="s">
        <v>1708</v>
      </c>
      <c r="C121" s="197" t="s">
        <v>1572</v>
      </c>
      <c r="D121" s="63">
        <v>44865</v>
      </c>
      <c r="E121" s="63">
        <v>44866</v>
      </c>
      <c r="F121" s="193">
        <v>1</v>
      </c>
      <c r="G121" s="73">
        <v>2</v>
      </c>
      <c r="H121" s="73">
        <v>0</v>
      </c>
      <c r="I121" s="73">
        <v>0</v>
      </c>
      <c r="J121" s="193">
        <v>0</v>
      </c>
      <c r="K121" s="193">
        <v>0</v>
      </c>
      <c r="L121" s="193">
        <f t="shared" si="3"/>
        <v>0</v>
      </c>
      <c r="O121" s="73">
        <v>0</v>
      </c>
    </row>
    <row r="122" spans="1:15" outlineLevel="2">
      <c r="A122" s="197" t="s">
        <v>1775</v>
      </c>
      <c r="B122" s="198" t="s">
        <v>1709</v>
      </c>
      <c r="C122" s="197" t="s">
        <v>1573</v>
      </c>
      <c r="D122" s="63">
        <v>44867</v>
      </c>
      <c r="E122" s="63">
        <v>44868</v>
      </c>
      <c r="F122" s="193">
        <v>1</v>
      </c>
      <c r="G122" s="73">
        <v>2</v>
      </c>
      <c r="H122" s="73">
        <v>0</v>
      </c>
      <c r="I122" s="73">
        <v>0</v>
      </c>
      <c r="J122" s="193">
        <v>0</v>
      </c>
      <c r="K122" s="193">
        <v>0</v>
      </c>
      <c r="L122" s="193">
        <f t="shared" si="3"/>
        <v>0</v>
      </c>
      <c r="O122" s="73">
        <v>0</v>
      </c>
    </row>
    <row r="123" spans="1:15" outlineLevel="2">
      <c r="A123" s="197" t="s">
        <v>1775</v>
      </c>
      <c r="B123" s="198" t="s">
        <v>1710</v>
      </c>
      <c r="C123" s="197" t="s">
        <v>1574</v>
      </c>
      <c r="D123" s="63">
        <v>44869</v>
      </c>
      <c r="E123" s="63">
        <v>44872</v>
      </c>
      <c r="F123" s="193">
        <v>1</v>
      </c>
      <c r="G123" s="73">
        <v>2</v>
      </c>
      <c r="H123" s="73">
        <v>0</v>
      </c>
      <c r="I123" s="73">
        <v>0</v>
      </c>
      <c r="J123" s="193">
        <v>0</v>
      </c>
      <c r="K123" s="193">
        <v>0</v>
      </c>
      <c r="L123" s="193">
        <f t="shared" si="3"/>
        <v>0</v>
      </c>
      <c r="O123" s="73">
        <v>0</v>
      </c>
    </row>
    <row r="124" spans="1:15" outlineLevel="2">
      <c r="A124" s="197" t="s">
        <v>1775</v>
      </c>
      <c r="B124" s="198" t="s">
        <v>1711</v>
      </c>
      <c r="C124" s="197" t="s">
        <v>1575</v>
      </c>
      <c r="D124" s="63">
        <v>44873</v>
      </c>
      <c r="E124" s="63">
        <v>44874</v>
      </c>
      <c r="F124" s="193">
        <v>1</v>
      </c>
      <c r="G124" s="73">
        <v>2</v>
      </c>
      <c r="H124" s="73">
        <v>0</v>
      </c>
      <c r="I124" s="73">
        <v>0</v>
      </c>
      <c r="J124" s="193">
        <v>0</v>
      </c>
      <c r="K124" s="193">
        <v>0</v>
      </c>
      <c r="L124" s="193">
        <f t="shared" si="3"/>
        <v>0</v>
      </c>
      <c r="O124" s="73">
        <v>0</v>
      </c>
    </row>
    <row r="125" spans="1:15" outlineLevel="2">
      <c r="A125" s="197" t="s">
        <v>1775</v>
      </c>
      <c r="B125" s="198" t="s">
        <v>1713</v>
      </c>
      <c r="C125" s="197" t="s">
        <v>1576</v>
      </c>
      <c r="D125" s="63">
        <v>44879</v>
      </c>
      <c r="E125" s="63">
        <v>44897</v>
      </c>
      <c r="F125" s="193">
        <v>1</v>
      </c>
      <c r="G125" s="73">
        <v>15</v>
      </c>
      <c r="H125" s="73">
        <v>0</v>
      </c>
      <c r="I125" s="73">
        <v>0</v>
      </c>
      <c r="J125" s="193">
        <v>0</v>
      </c>
      <c r="K125" s="193">
        <v>0</v>
      </c>
      <c r="L125" s="193">
        <f t="shared" si="3"/>
        <v>0</v>
      </c>
      <c r="O125" s="73">
        <v>0</v>
      </c>
    </row>
    <row r="126" spans="1:15" outlineLevel="2">
      <c r="A126" s="197" t="s">
        <v>1775</v>
      </c>
      <c r="B126" s="198" t="s">
        <v>1715</v>
      </c>
      <c r="C126" s="197" t="s">
        <v>1577</v>
      </c>
      <c r="D126" s="63">
        <v>44900</v>
      </c>
      <c r="E126" s="63">
        <v>44901</v>
      </c>
      <c r="F126" s="193">
        <v>1</v>
      </c>
      <c r="G126" s="73">
        <v>2</v>
      </c>
      <c r="H126" s="73">
        <v>0</v>
      </c>
      <c r="I126" s="73">
        <v>0</v>
      </c>
      <c r="J126" s="193">
        <v>0</v>
      </c>
      <c r="K126" s="193">
        <v>0</v>
      </c>
      <c r="L126" s="193">
        <f t="shared" si="3"/>
        <v>0</v>
      </c>
      <c r="O126" s="73">
        <v>0</v>
      </c>
    </row>
    <row r="127" spans="1:15" outlineLevel="2">
      <c r="A127" s="197" t="s">
        <v>1775</v>
      </c>
      <c r="B127" s="198" t="s">
        <v>1717</v>
      </c>
      <c r="C127" s="197" t="s">
        <v>1579</v>
      </c>
      <c r="D127" s="63">
        <v>44902</v>
      </c>
      <c r="E127" s="63">
        <v>44908</v>
      </c>
      <c r="F127" s="193">
        <v>1</v>
      </c>
      <c r="G127" s="73">
        <v>5</v>
      </c>
      <c r="H127" s="73">
        <v>0</v>
      </c>
      <c r="I127" s="73">
        <v>0</v>
      </c>
      <c r="J127" s="193">
        <v>0</v>
      </c>
      <c r="K127" s="193">
        <v>0</v>
      </c>
      <c r="L127" s="193">
        <f t="shared" si="3"/>
        <v>0</v>
      </c>
      <c r="O127" s="73">
        <v>0</v>
      </c>
    </row>
    <row r="128" spans="1:15" outlineLevel="2">
      <c r="A128" s="197" t="s">
        <v>1775</v>
      </c>
      <c r="B128" s="198" t="s">
        <v>1719</v>
      </c>
      <c r="C128" s="197" t="s">
        <v>1581</v>
      </c>
      <c r="D128" s="63">
        <v>44909</v>
      </c>
      <c r="E128" s="63">
        <v>44910</v>
      </c>
      <c r="F128" s="193">
        <v>1</v>
      </c>
      <c r="G128" s="73">
        <v>2</v>
      </c>
      <c r="H128" s="73">
        <v>0</v>
      </c>
      <c r="I128" s="73">
        <v>0</v>
      </c>
      <c r="J128" s="193">
        <v>0</v>
      </c>
      <c r="K128" s="193">
        <v>0</v>
      </c>
      <c r="L128" s="193">
        <f t="shared" si="3"/>
        <v>0</v>
      </c>
      <c r="O128" s="73">
        <v>0</v>
      </c>
    </row>
    <row r="129" spans="1:15" outlineLevel="2">
      <c r="A129" s="197" t="s">
        <v>1775</v>
      </c>
      <c r="B129" s="198" t="s">
        <v>1720</v>
      </c>
      <c r="C129" s="197" t="s">
        <v>1582</v>
      </c>
      <c r="D129" s="63">
        <v>44911</v>
      </c>
      <c r="E129" s="63">
        <v>44914</v>
      </c>
      <c r="F129" s="193">
        <v>1</v>
      </c>
      <c r="G129" s="73">
        <v>2</v>
      </c>
      <c r="H129" s="73">
        <v>0</v>
      </c>
      <c r="I129" s="73">
        <v>0</v>
      </c>
      <c r="J129" s="193">
        <v>0</v>
      </c>
      <c r="K129" s="193">
        <v>0</v>
      </c>
      <c r="L129" s="193">
        <f t="shared" si="3"/>
        <v>0</v>
      </c>
      <c r="O129" s="73">
        <v>0</v>
      </c>
    </row>
    <row r="130" spans="1:15" outlineLevel="2">
      <c r="A130" s="197" t="s">
        <v>1775</v>
      </c>
      <c r="B130" s="198" t="s">
        <v>1721</v>
      </c>
      <c r="C130" s="197" t="s">
        <v>1583</v>
      </c>
      <c r="D130" s="63">
        <v>44915</v>
      </c>
      <c r="E130" s="63">
        <v>44916</v>
      </c>
      <c r="F130" s="193">
        <v>1</v>
      </c>
      <c r="G130" s="73">
        <v>2</v>
      </c>
      <c r="H130" s="73">
        <v>0</v>
      </c>
      <c r="I130" s="73">
        <v>0</v>
      </c>
      <c r="J130" s="193">
        <v>0</v>
      </c>
      <c r="K130" s="193">
        <v>0</v>
      </c>
      <c r="L130" s="193">
        <f t="shared" si="3"/>
        <v>0</v>
      </c>
      <c r="O130" s="73">
        <v>0</v>
      </c>
    </row>
    <row r="131" spans="1:15" outlineLevel="2">
      <c r="A131" s="197" t="s">
        <v>1775</v>
      </c>
      <c r="B131" s="198" t="s">
        <v>1722</v>
      </c>
      <c r="C131" s="197" t="s">
        <v>1584</v>
      </c>
      <c r="D131" s="63">
        <v>44917</v>
      </c>
      <c r="E131" s="63">
        <v>44918</v>
      </c>
      <c r="F131" s="193">
        <v>1</v>
      </c>
      <c r="G131" s="73">
        <v>2</v>
      </c>
      <c r="H131" s="73">
        <v>0</v>
      </c>
      <c r="I131" s="73">
        <v>0</v>
      </c>
      <c r="J131" s="193">
        <v>0</v>
      </c>
      <c r="K131" s="193">
        <v>0</v>
      </c>
      <c r="L131" s="193">
        <f t="shared" si="3"/>
        <v>0</v>
      </c>
      <c r="O131" s="73">
        <v>0</v>
      </c>
    </row>
    <row r="132" spans="1:15" outlineLevel="2">
      <c r="A132" s="197" t="s">
        <v>1775</v>
      </c>
      <c r="B132" s="198" t="s">
        <v>1723</v>
      </c>
      <c r="C132" s="197" t="s">
        <v>1585</v>
      </c>
      <c r="D132" s="63">
        <v>44922</v>
      </c>
      <c r="E132" s="63">
        <v>44923</v>
      </c>
      <c r="F132" s="193">
        <v>1</v>
      </c>
      <c r="G132" s="73">
        <v>2</v>
      </c>
      <c r="H132" s="73">
        <v>0</v>
      </c>
      <c r="I132" s="73">
        <v>0</v>
      </c>
      <c r="J132" s="193">
        <v>0</v>
      </c>
      <c r="K132" s="193">
        <v>0</v>
      </c>
      <c r="L132" s="193">
        <f t="shared" si="3"/>
        <v>0</v>
      </c>
      <c r="O132" s="73">
        <v>0</v>
      </c>
    </row>
    <row r="133" spans="1:15" outlineLevel="2">
      <c r="A133" s="197" t="s">
        <v>1775</v>
      </c>
      <c r="B133" s="198" t="s">
        <v>1724</v>
      </c>
      <c r="C133" s="197" t="s">
        <v>1586</v>
      </c>
      <c r="D133" s="63">
        <v>44924</v>
      </c>
      <c r="E133" s="63">
        <v>44925</v>
      </c>
      <c r="F133" s="193">
        <v>1</v>
      </c>
      <c r="G133" s="73">
        <v>2</v>
      </c>
      <c r="H133" s="73">
        <v>0</v>
      </c>
      <c r="I133" s="73">
        <v>0</v>
      </c>
      <c r="J133" s="193">
        <v>0</v>
      </c>
      <c r="K133" s="193">
        <v>0</v>
      </c>
      <c r="L133" s="193">
        <f t="shared" si="3"/>
        <v>0</v>
      </c>
      <c r="O133" s="73">
        <v>0</v>
      </c>
    </row>
    <row r="134" spans="1:15" outlineLevel="1">
      <c r="A134" s="199" t="s">
        <v>1787</v>
      </c>
      <c r="B134" s="200"/>
      <c r="C134" s="201"/>
      <c r="D134" s="202"/>
      <c r="E134" s="202"/>
      <c r="F134" s="203"/>
      <c r="G134" s="204">
        <f>SUBTOTAL(9,G113:G133)</f>
        <v>60</v>
      </c>
      <c r="H134" s="204">
        <f>SUBTOTAL(9,H113:H133)</f>
        <v>6</v>
      </c>
      <c r="I134" s="204">
        <f>SUBTOTAL(9,I113:I133)</f>
        <v>1</v>
      </c>
      <c r="J134" s="203">
        <f>H134/G134</f>
        <v>0.1</v>
      </c>
      <c r="K134" s="203">
        <f>I134/G134</f>
        <v>1.6666666666666666E-2</v>
      </c>
      <c r="L134" s="206">
        <f t="shared" si="3"/>
        <v>-8.3333333333333343E-2</v>
      </c>
      <c r="M134" s="204"/>
      <c r="N134" s="204"/>
      <c r="O134" s="204">
        <f>SUBTOTAL(9,O113:O133)</f>
        <v>1</v>
      </c>
    </row>
    <row r="135" spans="1:15" outlineLevel="1">
      <c r="J135" s="193"/>
      <c r="K135" s="193"/>
      <c r="L135" s="193"/>
    </row>
    <row r="136" spans="1:15" outlineLevel="1">
      <c r="A136" s="210" t="s">
        <v>1486</v>
      </c>
      <c r="B136" s="204"/>
      <c r="C136" s="204"/>
      <c r="D136" s="204"/>
      <c r="E136" s="204"/>
      <c r="F136" s="203"/>
      <c r="G136" s="204">
        <f>SUBTOTAL(9,G7:G135)</f>
        <v>421</v>
      </c>
      <c r="H136" s="204">
        <f>SUBTOTAL(9,H7:H135)</f>
        <v>118</v>
      </c>
      <c r="I136" s="204">
        <f>SUBTOTAL(9,I7:I135)</f>
        <v>76.021599999999992</v>
      </c>
      <c r="J136" s="203">
        <f>H136/G136</f>
        <v>0.28028503562945367</v>
      </c>
      <c r="K136" s="203">
        <f>I136/G136</f>
        <v>0.18057387173396672</v>
      </c>
      <c r="L136" s="206">
        <f>K136-J136</f>
        <v>-9.9711163895486954E-2</v>
      </c>
      <c r="M136" s="204"/>
      <c r="N136" s="204"/>
      <c r="O136" s="204">
        <f>SUBTOTAL(9,O7:O135)</f>
        <v>76.021599999999992</v>
      </c>
    </row>
  </sheetData>
  <sortState xmlns:xlrd2="http://schemas.microsoft.com/office/spreadsheetml/2017/richdata2" ref="A7:O125">
    <sortCondition ref="A7:A49"/>
    <sortCondition ref="B7:B49"/>
  </sortState>
  <dataConsolidate/>
  <phoneticPr fontId="1" type="noConversion"/>
  <hyperlinks>
    <hyperlink ref="B68" location="Schedule!$D$6" display="1.1" xr:uid="{00000000-0004-0000-0300-000000000000}"/>
    <hyperlink ref="B69" location="Schedule!$D$7" display="1.2" xr:uid="{00000000-0004-0000-0300-000001000000}"/>
    <hyperlink ref="B70" location="Schedule!$D$9" display="2.1" xr:uid="{00000000-0004-0000-0300-000002000000}"/>
    <hyperlink ref="B71" location="Schedule!$D$10" display="2.2" xr:uid="{00000000-0004-0000-0300-000003000000}"/>
    <hyperlink ref="B72" location="Schedule!$D$11" display="2.3" xr:uid="{00000000-0004-0000-0300-000004000000}"/>
    <hyperlink ref="B108" location="Schedule!$D$12" display="2.4" xr:uid="{00000000-0004-0000-0300-000005000000}"/>
    <hyperlink ref="B109" location="Schedule!$D$14" display="3.1" xr:uid="{00000000-0004-0000-0300-000006000000}"/>
    <hyperlink ref="B110" location="Schedule!$D$15" display="3.2" xr:uid="{00000000-0004-0000-0300-000007000000}"/>
    <hyperlink ref="B111" location="Schedule!$D$16" display="3.3" xr:uid="{00000000-0004-0000-0300-000008000000}"/>
    <hyperlink ref="B96" location="Schedule!$D$19" display="4.1.1" xr:uid="{00000000-0004-0000-0300-000009000000}"/>
    <hyperlink ref="B97" location="Schedule!$D$20" display="4.1.2" xr:uid="{00000000-0004-0000-0300-00000A000000}"/>
    <hyperlink ref="B98" location="Schedule!$D$21" display="4.1.3" xr:uid="{00000000-0004-0000-0300-00000B000000}"/>
    <hyperlink ref="B99" location="Schedule!$D$22" display="4.1.4" xr:uid="{00000000-0004-0000-0300-00000C000000}"/>
    <hyperlink ref="B100" location="Schedule!$D$23" display="4.1.5" xr:uid="{00000000-0004-0000-0300-00000D000000}"/>
    <hyperlink ref="B101" location="Schedule!$D$24" display="4.1.6" xr:uid="{00000000-0004-0000-0300-00000E000000}"/>
    <hyperlink ref="B102" location="Schedule!$D$25" display="4.1.7" xr:uid="{00000000-0004-0000-0300-00000F000000}"/>
    <hyperlink ref="B103" location="Schedule!$D$27" display="4.1.8.1" xr:uid="{00000000-0004-0000-0300-000010000000}"/>
    <hyperlink ref="B104" location="Schedule!$D$28" display="4.1.8.2" xr:uid="{00000000-0004-0000-0300-000011000000}"/>
    <hyperlink ref="B105" location="Schedule!$D$29" display="4.1.8.3" xr:uid="{00000000-0004-0000-0300-000012000000}"/>
    <hyperlink ref="B106" location="Schedule!$D$30" display="4.2" xr:uid="{00000000-0004-0000-0300-000013000000}"/>
    <hyperlink ref="B15" location="Schedule!$D$32" display="5.1" xr:uid="{00000000-0004-0000-0300-000014000000}"/>
    <hyperlink ref="B16" location="Schedule!$D$33" display="5.2" xr:uid="{00000000-0004-0000-0300-000015000000}"/>
    <hyperlink ref="B17" location="Schedule!$D$34" display="5.3" xr:uid="{00000000-0004-0000-0300-000016000000}"/>
    <hyperlink ref="B18" location="Schedule!$D$35" display="5.4" xr:uid="{00000000-0004-0000-0300-000017000000}"/>
    <hyperlink ref="B36" location="Schedule!$D$37" display="6.1" xr:uid="{00000000-0004-0000-0300-000018000000}"/>
    <hyperlink ref="B37" location="Schedule!$D$38" display="6.2" xr:uid="{00000000-0004-0000-0300-000019000000}"/>
    <hyperlink ref="B38" location="Schedule!$D$39" display="6.3" xr:uid="{00000000-0004-0000-0300-00001A000000}"/>
    <hyperlink ref="B39" location="Schedule!$D$40" display="6.4" xr:uid="{00000000-0004-0000-0300-00001B000000}"/>
    <hyperlink ref="B40" location="Schedule!$D$41" display="6.5" xr:uid="{00000000-0004-0000-0300-00001C000000}"/>
    <hyperlink ref="B74" location="Schedule!$D$45" display="7.1.1.1" xr:uid="{00000000-0004-0000-0300-00001D000000}"/>
    <hyperlink ref="B75" location="Schedule!$D$47" display="7.1.1.2.1" xr:uid="{00000000-0004-0000-0300-00001E000000}"/>
    <hyperlink ref="B76" location="Schedule!$D$48" display="7.1.1.2.2" xr:uid="{00000000-0004-0000-0300-00001F000000}"/>
    <hyperlink ref="B77" location="Schedule!$D$49" display="7.1.1.2.3" xr:uid="{00000000-0004-0000-0300-000020000000}"/>
    <hyperlink ref="B78" location="Schedule!$D$52" display="7.1.2.1.1" xr:uid="{00000000-0004-0000-0300-000021000000}"/>
    <hyperlink ref="B79" location="Schedule!$D$53" display="7.1.2.1.2" xr:uid="{00000000-0004-0000-0300-000022000000}"/>
    <hyperlink ref="B80" location="Schedule!$D$54" display="7.1.2.1.3" xr:uid="{00000000-0004-0000-0300-000023000000}"/>
    <hyperlink ref="B81" location="Schedule!$D$55" display="7.1.2.1.4" xr:uid="{00000000-0004-0000-0300-000024000000}"/>
    <hyperlink ref="B82" location="Schedule!$D$57" display="7.1.2.2.1" xr:uid="{00000000-0004-0000-0300-000025000000}"/>
    <hyperlink ref="B83" location="Schedule!$D$58" display="7.1.2.2.2" xr:uid="{00000000-0004-0000-0300-000026000000}"/>
    <hyperlink ref="B84" location="Schedule!$D$60" display="7.1.2.3.1" xr:uid="{00000000-0004-0000-0300-000027000000}"/>
    <hyperlink ref="B85" location="Schedule!$D$61" display="7.1.2.3.2" xr:uid="{00000000-0004-0000-0300-000028000000}"/>
    <hyperlink ref="B86" location="Schedule!$D$62" display="7.1.2.3.3" xr:uid="{00000000-0004-0000-0300-000029000000}"/>
    <hyperlink ref="B87" location="Schedule!$D$63" display="7.1.2.3.4" xr:uid="{00000000-0004-0000-0300-00002A000000}"/>
    <hyperlink ref="B88" location="Schedule!$D$64" display="7.1.2.3.5" xr:uid="{00000000-0004-0000-0300-00002B000000}"/>
    <hyperlink ref="B89" location="Schedule!$D$65" display="7.1.2.3.6" xr:uid="{00000000-0004-0000-0300-00002C000000}"/>
    <hyperlink ref="B90" location="Schedule!$D$67" display="7.1.2.4.1" xr:uid="{00000000-0004-0000-0300-00002D000000}"/>
    <hyperlink ref="B91" location="Schedule!$D$68" display="7.1.2.4.2" xr:uid="{00000000-0004-0000-0300-00002E000000}"/>
    <hyperlink ref="B92" location="Schedule!$D$69" display="7.1.2.4.3" xr:uid="{00000000-0004-0000-0300-00002F000000}"/>
    <hyperlink ref="B93" location="Schedule!$D$70" display="7.1.2.4.4" xr:uid="{00000000-0004-0000-0300-000030000000}"/>
    <hyperlink ref="B94" location="Schedule!$D$71" display="7.1.2.4.5" xr:uid="{00000000-0004-0000-0300-000031000000}"/>
    <hyperlink ref="B42" location="Schedule!$D$73" display="7.1.2.4.6.1" xr:uid="{00000000-0004-0000-0300-000032000000}"/>
    <hyperlink ref="B43" location="Schedule!$D$74" display="7.1.2.4.6.2" xr:uid="{00000000-0004-0000-0300-000033000000}"/>
    <hyperlink ref="B44" location="Schedule!$D$75" display="7.1.2.4.6.3" xr:uid="{00000000-0004-0000-0300-000034000000}"/>
    <hyperlink ref="B45" location="Schedule!$D$76" display="7.1.2.4.6.4" xr:uid="{00000000-0004-0000-0300-000035000000}"/>
    <hyperlink ref="B46" location="Schedule!$D$77" display="7.1.2.4.6.5" xr:uid="{00000000-0004-0000-0300-000036000000}"/>
    <hyperlink ref="B47" location="Schedule!$D$78" display="7.1.2.4.6.6" xr:uid="{00000000-0004-0000-0300-000037000000}"/>
    <hyperlink ref="B48" location="Schedule!$D$79" display="7.1.2.4.6.7" xr:uid="{00000000-0004-0000-0300-000038000000}"/>
    <hyperlink ref="B49" location="Schedule!$D$81" display="7.1.2.5.1" xr:uid="{00000000-0004-0000-0300-000039000000}"/>
    <hyperlink ref="B50" location="Schedule!$D$82" display="7.1.2.5.2" xr:uid="{00000000-0004-0000-0300-00003A000000}"/>
    <hyperlink ref="B51" location="Schedule!$D$84" display="7.1.2.5.3.1" xr:uid="{00000000-0004-0000-0300-00003B000000}"/>
    <hyperlink ref="B52" location="Schedule!$D$85" display="7.1.2.5.3.2" xr:uid="{00000000-0004-0000-0300-00003C000000}"/>
    <hyperlink ref="B53" location="Schedule!$D$86" display="7.1.2.5.3.3" xr:uid="{00000000-0004-0000-0300-00003D000000}"/>
    <hyperlink ref="B54" location="Schedule!$D$87" display="7.1.2.5.3.4" xr:uid="{00000000-0004-0000-0300-00003E000000}"/>
    <hyperlink ref="B55" location="Schedule!$D$88" display="7.1.2.5.3.5" xr:uid="{00000000-0004-0000-0300-00003F000000}"/>
    <hyperlink ref="B56" location="Schedule!$D$89" display="7.1.2.5.3.6" xr:uid="{00000000-0004-0000-0300-000040000000}"/>
    <hyperlink ref="B57" location="Schedule!$D$90" display="7.1.2.5.4" xr:uid="{00000000-0004-0000-0300-000041000000}"/>
    <hyperlink ref="B113" location="Schedule!$D$93" display="7.1.2.6.1.1" xr:uid="{00000000-0004-0000-0300-000042000000}"/>
    <hyperlink ref="B114" location="Schedule!$D$94" display="7.1.2.6.1.2" xr:uid="{00000000-0004-0000-0300-000043000000}"/>
    <hyperlink ref="B115" location="Schedule!$D$96" display="7.1.2.6.1.3.1" xr:uid="{00000000-0004-0000-0300-000044000000}"/>
    <hyperlink ref="B117" location="Schedule!$D$97" display="7.1.2.6.1.3.2" xr:uid="{00000000-0004-0000-0300-000045000000}"/>
    <hyperlink ref="B118" location="Schedule!$D$98" display="7.1.2.6.1.3.3" xr:uid="{00000000-0004-0000-0300-000046000000}"/>
    <hyperlink ref="B119" location="Schedule!$D$99" display="7.1.2.6.1.3.4" xr:uid="{00000000-0004-0000-0300-000047000000}"/>
    <hyperlink ref="B120" location="Schedule!$D$100" display="7.1.2.6.1.3.5" xr:uid="{00000000-0004-0000-0300-000048000000}"/>
    <hyperlink ref="B121" location="Schedule!$D$101" display="7.1.2.6.1.3.6" xr:uid="{00000000-0004-0000-0300-000049000000}"/>
    <hyperlink ref="B122" location="Schedule!$D$102" display="7.1.2.6.1.3.7" xr:uid="{00000000-0004-0000-0300-00004A000000}"/>
    <hyperlink ref="B123" location="Schedule!$D$103" display="7.1.2.6.1.3.8" xr:uid="{00000000-0004-0000-0300-00004B000000}"/>
    <hyperlink ref="B124" location="Schedule!$D$104" display="7.1.2.6.1.3.9" xr:uid="{00000000-0004-0000-0300-00004C000000}"/>
    <hyperlink ref="B116" location="Schedule!$D$105" display="7.1.2.6.1.3.10" xr:uid="{00000000-0004-0000-0300-00004D000000}"/>
    <hyperlink ref="B125" location="Schedule!$D$106" display="7.1.2.6.1.4" xr:uid="{00000000-0004-0000-0300-00004E000000}"/>
    <hyperlink ref="B126" location="Schedule!$D$108" display="7.1.2.6.2.1" xr:uid="{00000000-0004-0000-0300-00004F000000}"/>
    <hyperlink ref="B127" location="Schedule!$D$110" display="7.1.2.6.2.2.1" xr:uid="{00000000-0004-0000-0300-000050000000}"/>
    <hyperlink ref="B128" location="Schedule!$D$112" display="7.1.2.6.2.2.2.1" xr:uid="{00000000-0004-0000-0300-000051000000}"/>
    <hyperlink ref="B129" location="Schedule!$D$113" display="7.1.2.6.2.2.2.2" xr:uid="{00000000-0004-0000-0300-000052000000}"/>
    <hyperlink ref="B130" location="Schedule!$D$114" display="7.1.2.6.2.2.2.3" xr:uid="{00000000-0004-0000-0300-000053000000}"/>
    <hyperlink ref="B131" location="Schedule!$D$115" display="7.1.2.6.2.2.2.4" xr:uid="{00000000-0004-0000-0300-000054000000}"/>
    <hyperlink ref="B132" location="Schedule!$D$116" display="7.1.2.6.2.2.2.5" xr:uid="{00000000-0004-0000-0300-000055000000}"/>
    <hyperlink ref="B133" location="Schedule!$D$117" display="7.1.2.6.2.2.2.6" xr:uid="{00000000-0004-0000-0300-000056000000}"/>
    <hyperlink ref="B58" location="Schedule!$D$119" display="7.1.2.7.1" xr:uid="{00000000-0004-0000-0300-000057000000}"/>
    <hyperlink ref="B59" location="Schedule!$D$121" display="7.1.2.7.2.1" xr:uid="{00000000-0004-0000-0300-000058000000}"/>
    <hyperlink ref="B60" location="Schedule!$D$122" display="7.1.2.7.3" xr:uid="{00000000-0004-0000-0300-000059000000}"/>
    <hyperlink ref="B61" location="Schedule!$D$123" display="7.1.2.7.4" xr:uid="{00000000-0004-0000-0300-00005A000000}"/>
    <hyperlink ref="B62" location="Schedule!$D$125" display="7.1.2.7.5.1" xr:uid="{00000000-0004-0000-0300-00005B000000}"/>
    <hyperlink ref="B63" location="Schedule!$D$127" display="7.1.2.7.5.2.1" xr:uid="{00000000-0004-0000-0300-00005C000000}"/>
    <hyperlink ref="B64" location="Schedule!$D$128" display="7.1.2.7.5.2.2" xr:uid="{00000000-0004-0000-0300-00005D000000}"/>
    <hyperlink ref="B65" location="Schedule!$D$129" display="7.1.2.7.5.2.3" xr:uid="{00000000-0004-0000-0300-00005E000000}"/>
    <hyperlink ref="B66" location="Schedule!$D$130" display="7.1.2.7.5.2.4" xr:uid="{00000000-0004-0000-0300-00005F000000}"/>
    <hyperlink ref="B26" location="Schedule!$D$133" display="7.1.2.8.1.1" xr:uid="{00000000-0004-0000-0300-000060000000}"/>
    <hyperlink ref="B27" location="Schedule!$D$134" display="7.1.2.8.1.2" xr:uid="{00000000-0004-0000-0300-000061000000}"/>
    <hyperlink ref="B28" location="Schedule!$D$135" display="7.1.2.8.1.3" xr:uid="{00000000-0004-0000-0300-000062000000}"/>
    <hyperlink ref="B29" location="Schedule!$D$136" display="7.1.2.8.1.4" xr:uid="{00000000-0004-0000-0300-000063000000}"/>
    <hyperlink ref="B30" location="Schedule!$D$137" display="7.1.2.8.2" xr:uid="{00000000-0004-0000-0300-000064000000}"/>
    <hyperlink ref="B31" location="Schedule!$D$139" display="7.1.2.9.1" xr:uid="{00000000-0004-0000-0300-000065000000}"/>
    <hyperlink ref="B32" location="Schedule!$D$141" display="7.1.2.9.2.1" xr:uid="{00000000-0004-0000-0300-000066000000}"/>
    <hyperlink ref="B33" location="Schedule!$D$142" display="7.1.2.9.2.2" xr:uid="{00000000-0004-0000-0300-000067000000}"/>
    <hyperlink ref="B34" location="Schedule!$D$143" display="7.1.2.9.2.3" xr:uid="{00000000-0004-0000-0300-000068000000}"/>
    <hyperlink ref="B20" location="Schedule!$D$146" display="7.1.2.10.1.1" xr:uid="{00000000-0004-0000-0300-000069000000}"/>
    <hyperlink ref="B21" location="Schedule!$D$147" display="7.1.2.10.1.2" xr:uid="{00000000-0004-0000-0300-00006A000000}"/>
    <hyperlink ref="B22" location="Schedule!$D$148" display="7.1.2.10.1.3" xr:uid="{00000000-0004-0000-0300-00006B000000}"/>
    <hyperlink ref="B23" location="Schedule!$D$149" display="7.1.2.10.1.4" xr:uid="{00000000-0004-0000-0300-00006C000000}"/>
    <hyperlink ref="B24" location="Schedule!$D$151" display="7.1.2.10.2.1" xr:uid="{00000000-0004-0000-0300-00006D000000}"/>
    <hyperlink ref="B25" location="Schedule!$D$152" display="7.1.2.10.2.2" xr:uid="{00000000-0004-0000-0300-00006E000000}"/>
    <hyperlink ref="B7" location="Schedule!$D$155" display="8.1.1" xr:uid="{00000000-0004-0000-0300-00006F000000}"/>
    <hyperlink ref="B8" location="Schedule!$D$156" display="8.1.2" xr:uid="{00000000-0004-0000-0300-000070000000}"/>
    <hyperlink ref="B9" location="Schedule!$D$158" display="8.2.1" xr:uid="{00000000-0004-0000-0300-000071000000}"/>
    <hyperlink ref="B10" location="Schedule!$D$159" display="8.2.2" xr:uid="{00000000-0004-0000-0300-000072000000}"/>
    <hyperlink ref="B11" location="Schedule!$D$162" display="9.1.1" xr:uid="{00000000-0004-0000-0300-000073000000}"/>
    <hyperlink ref="B12" location="Schedule!$D$163" display="9.1.2" xr:uid="{00000000-0004-0000-0300-000074000000}"/>
    <hyperlink ref="B13" location="Schedule!$D$164" display="9.2" xr:uid="{00000000-0004-0000-0300-000075000000}"/>
  </hyperlinks>
  <pageMargins left="0.7" right="0.7" top="0.75" bottom="0.75" header="0.3" footer="0.3"/>
  <pageSetup paperSize="9" orientation="portrait"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FFC000"/>
  </sheetPr>
  <dimension ref="A1:J305"/>
  <sheetViews>
    <sheetView showGridLines="0" zoomScale="85" zoomScaleNormal="85" workbookViewId="0">
      <pane ySplit="1" topLeftCell="A2" activePane="bottomLeft" state="frozenSplit"/>
      <selection pane="bottomLeft"/>
    </sheetView>
  </sheetViews>
  <sheetFormatPr baseColWidth="10" defaultColWidth="10" defaultRowHeight="15"/>
  <cols>
    <col min="1" max="1" width="31.6640625" style="63" customWidth="1"/>
    <col min="2" max="2" width="14.5" style="63" customWidth="1"/>
    <col min="3" max="3" width="7.6640625" style="63" customWidth="1"/>
    <col min="4" max="4" width="21.5" style="63" customWidth="1"/>
    <col min="5" max="5" width="14.1640625" style="63" customWidth="1"/>
    <col min="6" max="6" width="10" style="63"/>
    <col min="7" max="7" width="24.1640625" style="63" customWidth="1"/>
    <col min="8" max="8" width="18.33203125" style="63" bestFit="1" customWidth="1"/>
    <col min="9" max="9" width="11.1640625" style="63" bestFit="1" customWidth="1"/>
    <col min="10" max="10" width="27.33203125" style="63" bestFit="1" customWidth="1"/>
    <col min="11" max="19" width="10" style="63"/>
    <col min="20" max="23" width="10" style="63" customWidth="1"/>
    <col min="24" max="26" width="10" style="63"/>
    <col min="27" max="27" width="0" style="63" hidden="1" customWidth="1"/>
    <col min="28" max="16384" width="10" style="63"/>
  </cols>
  <sheetData>
    <row r="1" spans="1:9" ht="37" customHeight="1">
      <c r="A1" s="1" t="s">
        <v>1439</v>
      </c>
      <c r="B1" s="1"/>
      <c r="C1" s="1"/>
      <c r="D1" s="1"/>
      <c r="E1" s="1"/>
      <c r="F1" s="1"/>
      <c r="G1" s="1"/>
      <c r="H1" s="1"/>
    </row>
    <row r="2" spans="1:9" s="64" customFormat="1" ht="78.75" customHeight="1">
      <c r="A2" s="276" t="s">
        <v>1440</v>
      </c>
      <c r="B2" s="276"/>
      <c r="C2" s="276"/>
      <c r="D2" s="276"/>
      <c r="E2" s="276"/>
      <c r="F2" s="276"/>
      <c r="G2" s="276"/>
      <c r="H2" s="276"/>
    </row>
    <row r="3" spans="1:9" s="64" customFormat="1" ht="24.75" customHeight="1">
      <c r="A3" s="277" t="s">
        <v>1441</v>
      </c>
      <c r="B3" s="277"/>
      <c r="D3" s="277" t="s">
        <v>1442</v>
      </c>
      <c r="E3" s="277"/>
      <c r="G3" s="277" t="s">
        <v>1443</v>
      </c>
      <c r="H3" s="277"/>
    </row>
    <row r="4" spans="1:9" s="66" customFormat="1" ht="19.5" customHeight="1">
      <c r="A4" s="65" t="s">
        <v>1444</v>
      </c>
      <c r="B4" s="65" t="s">
        <v>1445</v>
      </c>
      <c r="D4" s="65" t="s">
        <v>1444</v>
      </c>
      <c r="E4" s="65" t="s">
        <v>1445</v>
      </c>
      <c r="G4" s="65" t="s">
        <v>1444</v>
      </c>
      <c r="H4" s="65" t="s">
        <v>1445</v>
      </c>
    </row>
    <row r="5" spans="1:9" s="76" customFormat="1" ht="17">
      <c r="A5" s="74" t="s">
        <v>1373</v>
      </c>
      <c r="B5" s="75">
        <v>44592</v>
      </c>
      <c r="C5" s="76" t="str">
        <f t="shared" ref="C5:C68" si="0">IF(B5&gt;0,TEXT(B5,"(aaa)"),"")</f>
        <v>(월)</v>
      </c>
      <c r="D5" s="74"/>
      <c r="E5" s="75"/>
      <c r="F5" s="76" t="str">
        <f t="shared" ref="F5:F68" si="1">IF(E5&gt;0,TEXT(E5,"(aaa)"),"")</f>
        <v/>
      </c>
      <c r="G5" s="74"/>
      <c r="H5" s="75"/>
      <c r="I5" s="76" t="str">
        <f t="shared" ref="I5:I68" si="2">IF(H5&gt;0,TEXT(H5,"(aaa)"),"")</f>
        <v/>
      </c>
    </row>
    <row r="6" spans="1:9" s="76" customFormat="1" ht="17">
      <c r="A6" s="74" t="s">
        <v>1374</v>
      </c>
      <c r="B6" s="75">
        <v>44593</v>
      </c>
      <c r="C6" s="76" t="str">
        <f t="shared" si="0"/>
        <v>(화)</v>
      </c>
      <c r="D6" s="74"/>
      <c r="E6" s="75"/>
      <c r="F6" s="76" t="str">
        <f t="shared" si="1"/>
        <v/>
      </c>
      <c r="G6" s="74"/>
      <c r="H6" s="75"/>
      <c r="I6" s="76" t="str">
        <f t="shared" si="2"/>
        <v/>
      </c>
    </row>
    <row r="7" spans="1:9" s="76" customFormat="1" ht="17">
      <c r="A7" s="74" t="s">
        <v>1373</v>
      </c>
      <c r="B7" s="75">
        <v>44594</v>
      </c>
      <c r="C7" s="76" t="str">
        <f t="shared" si="0"/>
        <v>(수)</v>
      </c>
      <c r="D7" s="74"/>
      <c r="E7" s="75"/>
      <c r="F7" s="76" t="str">
        <f t="shared" si="1"/>
        <v/>
      </c>
      <c r="G7" s="74"/>
      <c r="H7" s="75"/>
      <c r="I7" s="76" t="str">
        <f t="shared" si="2"/>
        <v/>
      </c>
    </row>
    <row r="8" spans="1:9" s="76" customFormat="1" ht="17">
      <c r="A8" s="74" t="s">
        <v>1375</v>
      </c>
      <c r="B8" s="75">
        <v>44621</v>
      </c>
      <c r="C8" s="76" t="str">
        <f t="shared" si="0"/>
        <v>(화)</v>
      </c>
      <c r="D8" s="74"/>
      <c r="E8" s="75"/>
      <c r="F8" s="76" t="str">
        <f t="shared" si="1"/>
        <v/>
      </c>
      <c r="G8" s="74"/>
      <c r="H8" s="75"/>
      <c r="I8" s="76" t="str">
        <f t="shared" si="2"/>
        <v/>
      </c>
    </row>
    <row r="9" spans="1:9" s="76" customFormat="1" ht="17">
      <c r="A9" s="74" t="s">
        <v>1376</v>
      </c>
      <c r="B9" s="75">
        <v>44629</v>
      </c>
      <c r="C9" s="76" t="str">
        <f t="shared" si="0"/>
        <v>(수)</v>
      </c>
      <c r="D9" s="74"/>
      <c r="E9" s="75"/>
      <c r="F9" s="76" t="str">
        <f t="shared" si="1"/>
        <v/>
      </c>
      <c r="G9" s="74"/>
      <c r="H9" s="75"/>
      <c r="I9" s="76" t="str">
        <f t="shared" si="2"/>
        <v/>
      </c>
    </row>
    <row r="10" spans="1:9" s="76" customFormat="1" ht="17">
      <c r="A10" s="74" t="s">
        <v>1377</v>
      </c>
      <c r="B10" s="75">
        <v>44686</v>
      </c>
      <c r="C10" s="76" t="str">
        <f t="shared" si="0"/>
        <v>(목)</v>
      </c>
      <c r="D10" s="74"/>
      <c r="E10" s="75"/>
      <c r="F10" s="76" t="str">
        <f t="shared" si="1"/>
        <v/>
      </c>
      <c r="G10" s="74"/>
      <c r="H10" s="75"/>
      <c r="I10" s="76" t="str">
        <f t="shared" si="2"/>
        <v/>
      </c>
    </row>
    <row r="11" spans="1:9" s="76" customFormat="1" ht="17">
      <c r="A11" s="74" t="s">
        <v>1378</v>
      </c>
      <c r="B11" s="75">
        <v>44713</v>
      </c>
      <c r="C11" s="76" t="str">
        <f t="shared" si="0"/>
        <v>(수)</v>
      </c>
      <c r="D11" s="74"/>
      <c r="E11" s="75"/>
      <c r="F11" s="76" t="str">
        <f t="shared" si="1"/>
        <v/>
      </c>
      <c r="G11" s="74"/>
      <c r="H11" s="75"/>
      <c r="I11" s="76" t="str">
        <f t="shared" si="2"/>
        <v/>
      </c>
    </row>
    <row r="12" spans="1:9" s="76" customFormat="1" ht="17">
      <c r="A12" s="74" t="s">
        <v>1379</v>
      </c>
      <c r="B12" s="75">
        <v>44718</v>
      </c>
      <c r="C12" s="76" t="str">
        <f t="shared" si="0"/>
        <v>(월)</v>
      </c>
      <c r="D12" s="74"/>
      <c r="E12" s="75"/>
      <c r="F12" s="76" t="str">
        <f t="shared" si="1"/>
        <v/>
      </c>
      <c r="G12" s="74"/>
      <c r="H12" s="75"/>
      <c r="I12" s="76" t="str">
        <f t="shared" si="2"/>
        <v/>
      </c>
    </row>
    <row r="13" spans="1:9" s="76" customFormat="1" ht="17">
      <c r="A13" s="74" t="s">
        <v>1380</v>
      </c>
      <c r="B13" s="75">
        <v>44788</v>
      </c>
      <c r="C13" s="76" t="str">
        <f t="shared" si="0"/>
        <v>(월)</v>
      </c>
      <c r="D13" s="74"/>
      <c r="E13" s="75"/>
      <c r="F13" s="76" t="str">
        <f t="shared" si="1"/>
        <v/>
      </c>
      <c r="G13" s="74"/>
      <c r="H13" s="75"/>
      <c r="I13" s="76" t="str">
        <f t="shared" si="2"/>
        <v/>
      </c>
    </row>
    <row r="14" spans="1:9" s="76" customFormat="1" ht="17">
      <c r="A14" s="74" t="s">
        <v>1381</v>
      </c>
      <c r="B14" s="75">
        <v>44813</v>
      </c>
      <c r="C14" s="76" t="str">
        <f t="shared" si="0"/>
        <v>(금)</v>
      </c>
      <c r="D14" s="74"/>
      <c r="E14" s="75"/>
      <c r="F14" s="76" t="str">
        <f t="shared" si="1"/>
        <v/>
      </c>
      <c r="G14" s="74"/>
      <c r="H14" s="75"/>
      <c r="I14" s="76" t="str">
        <f t="shared" si="2"/>
        <v/>
      </c>
    </row>
    <row r="15" spans="1:9" s="76" customFormat="1" ht="17">
      <c r="A15" s="74" t="s">
        <v>1382</v>
      </c>
      <c r="B15" s="75">
        <v>44816</v>
      </c>
      <c r="C15" s="76" t="str">
        <f t="shared" si="0"/>
        <v>(월)</v>
      </c>
      <c r="D15" s="74"/>
      <c r="E15" s="75"/>
      <c r="F15" s="76" t="str">
        <f t="shared" si="1"/>
        <v/>
      </c>
      <c r="G15" s="74"/>
      <c r="H15" s="75"/>
      <c r="I15" s="76" t="str">
        <f t="shared" si="2"/>
        <v/>
      </c>
    </row>
    <row r="16" spans="1:9" s="76" customFormat="1" ht="17">
      <c r="A16" s="74" t="s">
        <v>1383</v>
      </c>
      <c r="B16" s="75">
        <v>44837</v>
      </c>
      <c r="C16" s="76" t="str">
        <f t="shared" si="0"/>
        <v>(월)</v>
      </c>
      <c r="D16" s="74"/>
      <c r="E16" s="75"/>
      <c r="F16" s="76" t="str">
        <f t="shared" si="1"/>
        <v/>
      </c>
      <c r="G16" s="74"/>
      <c r="H16" s="75"/>
      <c r="I16" s="76" t="str">
        <f t="shared" si="2"/>
        <v/>
      </c>
    </row>
    <row r="17" spans="1:10" s="76" customFormat="1" ht="17">
      <c r="A17" s="74" t="s">
        <v>1384</v>
      </c>
      <c r="B17" s="75">
        <v>44844</v>
      </c>
      <c r="C17" s="76" t="str">
        <f t="shared" si="0"/>
        <v>(월)</v>
      </c>
      <c r="D17" s="74"/>
      <c r="E17" s="75"/>
      <c r="F17" s="76" t="str">
        <f t="shared" si="1"/>
        <v/>
      </c>
      <c r="G17" s="74"/>
      <c r="H17" s="75"/>
      <c r="I17" s="76" t="str">
        <f t="shared" si="2"/>
        <v/>
      </c>
    </row>
    <row r="18" spans="1:10" s="76" customFormat="1" ht="17">
      <c r="A18" s="74"/>
      <c r="B18" s="75"/>
      <c r="C18" s="76" t="str">
        <f t="shared" si="0"/>
        <v/>
      </c>
      <c r="D18" s="74"/>
      <c r="E18" s="75"/>
      <c r="F18" s="76" t="str">
        <f t="shared" si="1"/>
        <v/>
      </c>
      <c r="G18" s="74"/>
      <c r="H18" s="75"/>
      <c r="I18" s="76" t="str">
        <f t="shared" si="2"/>
        <v/>
      </c>
    </row>
    <row r="19" spans="1:10" s="76" customFormat="1" ht="18">
      <c r="A19" s="74"/>
      <c r="B19" s="75"/>
      <c r="C19" s="76" t="str">
        <f t="shared" si="0"/>
        <v/>
      </c>
      <c r="D19" s="74"/>
      <c r="E19" s="75"/>
      <c r="F19" s="76" t="str">
        <f t="shared" si="1"/>
        <v/>
      </c>
      <c r="G19" s="74"/>
      <c r="H19" s="75"/>
      <c r="I19" s="76" t="str">
        <f t="shared" si="2"/>
        <v/>
      </c>
      <c r="J19" s="77"/>
    </row>
    <row r="20" spans="1:10" s="76" customFormat="1" ht="18">
      <c r="A20" s="74"/>
      <c r="B20" s="75"/>
      <c r="C20" s="76" t="str">
        <f t="shared" si="0"/>
        <v/>
      </c>
      <c r="D20" s="74"/>
      <c r="E20" s="75"/>
      <c r="F20" s="76" t="str">
        <f t="shared" si="1"/>
        <v/>
      </c>
      <c r="G20" s="74"/>
      <c r="H20" s="75"/>
      <c r="I20" s="76" t="str">
        <f t="shared" si="2"/>
        <v/>
      </c>
      <c r="J20" s="77"/>
    </row>
    <row r="21" spans="1:10" s="76" customFormat="1" ht="17">
      <c r="A21" s="74"/>
      <c r="B21" s="75"/>
      <c r="C21" s="76" t="str">
        <f t="shared" si="0"/>
        <v/>
      </c>
      <c r="D21" s="74"/>
      <c r="E21" s="75"/>
      <c r="F21" s="76" t="str">
        <f t="shared" si="1"/>
        <v/>
      </c>
      <c r="G21" s="74"/>
      <c r="H21" s="75"/>
      <c r="I21" s="76" t="str">
        <f t="shared" si="2"/>
        <v/>
      </c>
    </row>
    <row r="22" spans="1:10" s="76" customFormat="1" ht="17">
      <c r="A22" s="74"/>
      <c r="B22" s="75"/>
      <c r="C22" s="76" t="str">
        <f t="shared" si="0"/>
        <v/>
      </c>
      <c r="D22" s="74"/>
      <c r="E22" s="75"/>
      <c r="F22" s="76" t="str">
        <f t="shared" si="1"/>
        <v/>
      </c>
      <c r="G22" s="74"/>
      <c r="H22" s="75"/>
      <c r="I22" s="76" t="str">
        <f t="shared" si="2"/>
        <v/>
      </c>
    </row>
    <row r="23" spans="1:10" s="76" customFormat="1" ht="17">
      <c r="A23" s="74"/>
      <c r="B23" s="75"/>
      <c r="C23" s="76" t="str">
        <f t="shared" si="0"/>
        <v/>
      </c>
      <c r="D23" s="74"/>
      <c r="E23" s="75"/>
      <c r="F23" s="76" t="str">
        <f t="shared" si="1"/>
        <v/>
      </c>
      <c r="G23" s="74"/>
      <c r="H23" s="75"/>
      <c r="I23" s="76" t="str">
        <f t="shared" si="2"/>
        <v/>
      </c>
    </row>
    <row r="24" spans="1:10" s="76" customFormat="1" ht="17">
      <c r="A24" s="74"/>
      <c r="B24" s="75"/>
      <c r="C24" s="76" t="str">
        <f t="shared" si="0"/>
        <v/>
      </c>
      <c r="D24" s="74"/>
      <c r="E24" s="75"/>
      <c r="F24" s="76" t="str">
        <f t="shared" si="1"/>
        <v/>
      </c>
      <c r="G24" s="74"/>
      <c r="H24" s="75"/>
      <c r="I24" s="76" t="str">
        <f t="shared" si="2"/>
        <v/>
      </c>
    </row>
    <row r="25" spans="1:10" s="76" customFormat="1" ht="17">
      <c r="A25" s="74"/>
      <c r="B25" s="75"/>
      <c r="C25" s="76" t="str">
        <f t="shared" si="0"/>
        <v/>
      </c>
      <c r="D25" s="74"/>
      <c r="E25" s="75"/>
      <c r="F25" s="76" t="str">
        <f t="shared" si="1"/>
        <v/>
      </c>
      <c r="G25" s="74"/>
      <c r="H25" s="75"/>
      <c r="I25" s="76" t="str">
        <f t="shared" si="2"/>
        <v/>
      </c>
    </row>
    <row r="26" spans="1:10" s="76" customFormat="1" ht="17">
      <c r="A26" s="74"/>
      <c r="B26" s="75"/>
      <c r="C26" s="76" t="str">
        <f t="shared" si="0"/>
        <v/>
      </c>
      <c r="D26" s="74"/>
      <c r="E26" s="75"/>
      <c r="F26" s="76" t="str">
        <f t="shared" si="1"/>
        <v/>
      </c>
      <c r="G26" s="74"/>
      <c r="H26" s="75"/>
      <c r="I26" s="76" t="str">
        <f t="shared" si="2"/>
        <v/>
      </c>
    </row>
    <row r="27" spans="1:10" s="76" customFormat="1" ht="17">
      <c r="A27" s="74"/>
      <c r="B27" s="75"/>
      <c r="C27" s="76" t="str">
        <f t="shared" si="0"/>
        <v/>
      </c>
      <c r="D27" s="74"/>
      <c r="E27" s="75"/>
      <c r="F27" s="76" t="str">
        <f t="shared" si="1"/>
        <v/>
      </c>
      <c r="G27" s="74"/>
      <c r="H27" s="75"/>
      <c r="I27" s="76" t="str">
        <f t="shared" si="2"/>
        <v/>
      </c>
    </row>
    <row r="28" spans="1:10" s="76" customFormat="1" ht="17">
      <c r="A28" s="74"/>
      <c r="B28" s="75"/>
      <c r="C28" s="76" t="str">
        <f t="shared" si="0"/>
        <v/>
      </c>
      <c r="D28" s="74"/>
      <c r="E28" s="75"/>
      <c r="F28" s="76" t="str">
        <f t="shared" si="1"/>
        <v/>
      </c>
      <c r="G28" s="74"/>
      <c r="H28" s="75"/>
      <c r="I28" s="76" t="str">
        <f t="shared" si="2"/>
        <v/>
      </c>
    </row>
    <row r="29" spans="1:10" s="76" customFormat="1" ht="17">
      <c r="A29" s="74"/>
      <c r="B29" s="75"/>
      <c r="C29" s="76" t="str">
        <f t="shared" si="0"/>
        <v/>
      </c>
      <c r="D29" s="74"/>
      <c r="E29" s="75"/>
      <c r="F29" s="76" t="str">
        <f t="shared" si="1"/>
        <v/>
      </c>
      <c r="G29" s="74"/>
      <c r="H29" s="75"/>
      <c r="I29" s="76" t="str">
        <f t="shared" si="2"/>
        <v/>
      </c>
    </row>
    <row r="30" spans="1:10" s="76" customFormat="1" ht="17">
      <c r="A30" s="74"/>
      <c r="B30" s="75"/>
      <c r="C30" s="76" t="str">
        <f t="shared" si="0"/>
        <v/>
      </c>
      <c r="D30" s="74"/>
      <c r="E30" s="75"/>
      <c r="F30" s="76" t="str">
        <f t="shared" si="1"/>
        <v/>
      </c>
      <c r="G30" s="74"/>
      <c r="H30" s="75"/>
      <c r="I30" s="76" t="str">
        <f t="shared" si="2"/>
        <v/>
      </c>
    </row>
    <row r="31" spans="1:10" s="76" customFormat="1" ht="17">
      <c r="A31" s="74"/>
      <c r="B31" s="75"/>
      <c r="C31" s="76" t="str">
        <f t="shared" si="0"/>
        <v/>
      </c>
      <c r="D31" s="74"/>
      <c r="E31" s="75"/>
      <c r="F31" s="76" t="str">
        <f t="shared" si="1"/>
        <v/>
      </c>
      <c r="G31" s="74"/>
      <c r="H31" s="75"/>
      <c r="I31" s="76" t="str">
        <f t="shared" si="2"/>
        <v/>
      </c>
    </row>
    <row r="32" spans="1:10" s="76" customFormat="1" ht="17">
      <c r="A32" s="74"/>
      <c r="B32" s="75"/>
      <c r="C32" s="76" t="str">
        <f t="shared" si="0"/>
        <v/>
      </c>
      <c r="D32" s="74"/>
      <c r="E32" s="75"/>
      <c r="F32" s="76" t="str">
        <f t="shared" si="1"/>
        <v/>
      </c>
      <c r="G32" s="74"/>
      <c r="H32" s="75"/>
      <c r="I32" s="76" t="str">
        <f t="shared" si="2"/>
        <v/>
      </c>
    </row>
    <row r="33" spans="1:9" s="76" customFormat="1" ht="17">
      <c r="A33" s="74"/>
      <c r="B33" s="75"/>
      <c r="C33" s="76" t="str">
        <f t="shared" si="0"/>
        <v/>
      </c>
      <c r="D33" s="74"/>
      <c r="E33" s="75"/>
      <c r="F33" s="76" t="str">
        <f t="shared" si="1"/>
        <v/>
      </c>
      <c r="G33" s="74"/>
      <c r="H33" s="75"/>
      <c r="I33" s="76" t="str">
        <f t="shared" si="2"/>
        <v/>
      </c>
    </row>
    <row r="34" spans="1:9" s="76" customFormat="1" ht="17">
      <c r="A34" s="74"/>
      <c r="B34" s="75"/>
      <c r="C34" s="76" t="str">
        <f t="shared" si="0"/>
        <v/>
      </c>
      <c r="D34" s="74"/>
      <c r="E34" s="75"/>
      <c r="F34" s="76" t="str">
        <f t="shared" si="1"/>
        <v/>
      </c>
      <c r="G34" s="74"/>
      <c r="H34" s="75"/>
      <c r="I34" s="76" t="str">
        <f t="shared" si="2"/>
        <v/>
      </c>
    </row>
    <row r="35" spans="1:9" s="76" customFormat="1" ht="17">
      <c r="A35" s="74"/>
      <c r="B35" s="75"/>
      <c r="C35" s="76" t="str">
        <f t="shared" si="0"/>
        <v/>
      </c>
      <c r="D35" s="74"/>
      <c r="E35" s="75"/>
      <c r="F35" s="76" t="str">
        <f t="shared" si="1"/>
        <v/>
      </c>
      <c r="G35" s="74"/>
      <c r="H35" s="75"/>
      <c r="I35" s="76" t="str">
        <f t="shared" si="2"/>
        <v/>
      </c>
    </row>
    <row r="36" spans="1:9" s="76" customFormat="1" ht="17">
      <c r="A36" s="74"/>
      <c r="B36" s="75"/>
      <c r="C36" s="76" t="str">
        <f t="shared" si="0"/>
        <v/>
      </c>
      <c r="D36" s="74"/>
      <c r="E36" s="75"/>
      <c r="F36" s="76" t="str">
        <f t="shared" si="1"/>
        <v/>
      </c>
      <c r="G36" s="74"/>
      <c r="H36" s="75"/>
      <c r="I36" s="76" t="str">
        <f t="shared" si="2"/>
        <v/>
      </c>
    </row>
    <row r="37" spans="1:9" s="76" customFormat="1" ht="17">
      <c r="A37" s="74"/>
      <c r="B37" s="75"/>
      <c r="C37" s="76" t="str">
        <f t="shared" si="0"/>
        <v/>
      </c>
      <c r="D37" s="74"/>
      <c r="E37" s="75"/>
      <c r="F37" s="76" t="str">
        <f t="shared" si="1"/>
        <v/>
      </c>
      <c r="G37" s="74"/>
      <c r="H37" s="75"/>
      <c r="I37" s="76" t="str">
        <f t="shared" si="2"/>
        <v/>
      </c>
    </row>
    <row r="38" spans="1:9" s="76" customFormat="1" ht="17">
      <c r="A38" s="74"/>
      <c r="B38" s="75"/>
      <c r="C38" s="76" t="str">
        <f t="shared" si="0"/>
        <v/>
      </c>
      <c r="D38" s="74"/>
      <c r="E38" s="75"/>
      <c r="F38" s="76" t="str">
        <f t="shared" si="1"/>
        <v/>
      </c>
      <c r="G38" s="74"/>
      <c r="H38" s="75"/>
      <c r="I38" s="76" t="str">
        <f t="shared" si="2"/>
        <v/>
      </c>
    </row>
    <row r="39" spans="1:9" s="76" customFormat="1" ht="17">
      <c r="A39" s="74"/>
      <c r="B39" s="75"/>
      <c r="C39" s="76" t="str">
        <f t="shared" si="0"/>
        <v/>
      </c>
      <c r="D39" s="74"/>
      <c r="E39" s="75"/>
      <c r="F39" s="76" t="str">
        <f t="shared" si="1"/>
        <v/>
      </c>
      <c r="G39" s="74"/>
      <c r="H39" s="75"/>
      <c r="I39" s="76" t="str">
        <f t="shared" si="2"/>
        <v/>
      </c>
    </row>
    <row r="40" spans="1:9" s="76" customFormat="1" ht="17">
      <c r="A40" s="74"/>
      <c r="B40" s="75"/>
      <c r="C40" s="76" t="str">
        <f t="shared" si="0"/>
        <v/>
      </c>
      <c r="D40" s="74"/>
      <c r="E40" s="75"/>
      <c r="F40" s="76" t="str">
        <f t="shared" si="1"/>
        <v/>
      </c>
      <c r="G40" s="74"/>
      <c r="H40" s="75"/>
      <c r="I40" s="76" t="str">
        <f t="shared" si="2"/>
        <v/>
      </c>
    </row>
    <row r="41" spans="1:9" s="76" customFormat="1" ht="17">
      <c r="A41" s="74"/>
      <c r="B41" s="75"/>
      <c r="C41" s="76" t="str">
        <f t="shared" si="0"/>
        <v/>
      </c>
      <c r="D41" s="74"/>
      <c r="E41" s="75"/>
      <c r="F41" s="76" t="str">
        <f t="shared" si="1"/>
        <v/>
      </c>
      <c r="G41" s="74"/>
      <c r="H41" s="75"/>
      <c r="I41" s="76" t="str">
        <f t="shared" si="2"/>
        <v/>
      </c>
    </row>
    <row r="42" spans="1:9" s="76" customFormat="1" ht="17">
      <c r="A42" s="74"/>
      <c r="B42" s="75"/>
      <c r="C42" s="76" t="str">
        <f t="shared" si="0"/>
        <v/>
      </c>
      <c r="D42" s="74"/>
      <c r="E42" s="75"/>
      <c r="F42" s="76" t="str">
        <f t="shared" si="1"/>
        <v/>
      </c>
      <c r="G42" s="74"/>
      <c r="H42" s="75"/>
      <c r="I42" s="76" t="str">
        <f t="shared" si="2"/>
        <v/>
      </c>
    </row>
    <row r="43" spans="1:9" s="76" customFormat="1" ht="17">
      <c r="A43" s="74"/>
      <c r="B43" s="75"/>
      <c r="C43" s="76" t="str">
        <f t="shared" si="0"/>
        <v/>
      </c>
      <c r="D43" s="74"/>
      <c r="E43" s="75"/>
      <c r="F43" s="76" t="str">
        <f t="shared" si="1"/>
        <v/>
      </c>
      <c r="G43" s="74"/>
      <c r="H43" s="75"/>
      <c r="I43" s="76" t="str">
        <f t="shared" si="2"/>
        <v/>
      </c>
    </row>
    <row r="44" spans="1:9" s="76" customFormat="1" ht="17">
      <c r="A44" s="74"/>
      <c r="B44" s="75"/>
      <c r="C44" s="76" t="str">
        <f t="shared" si="0"/>
        <v/>
      </c>
      <c r="D44" s="74"/>
      <c r="E44" s="75"/>
      <c r="F44" s="76" t="str">
        <f t="shared" si="1"/>
        <v/>
      </c>
      <c r="G44" s="74"/>
      <c r="H44" s="75"/>
      <c r="I44" s="76" t="str">
        <f t="shared" si="2"/>
        <v/>
      </c>
    </row>
    <row r="45" spans="1:9" s="76" customFormat="1" ht="17">
      <c r="A45" s="74"/>
      <c r="B45" s="75"/>
      <c r="C45" s="76" t="str">
        <f t="shared" si="0"/>
        <v/>
      </c>
      <c r="D45" s="74"/>
      <c r="E45" s="75"/>
      <c r="F45" s="76" t="str">
        <f t="shared" si="1"/>
        <v/>
      </c>
      <c r="G45" s="74"/>
      <c r="H45" s="75"/>
      <c r="I45" s="76" t="str">
        <f t="shared" si="2"/>
        <v/>
      </c>
    </row>
    <row r="46" spans="1:9" s="76" customFormat="1" ht="17">
      <c r="A46" s="74"/>
      <c r="B46" s="75"/>
      <c r="C46" s="76" t="str">
        <f t="shared" si="0"/>
        <v/>
      </c>
      <c r="D46" s="74"/>
      <c r="E46" s="75"/>
      <c r="F46" s="76" t="str">
        <f t="shared" si="1"/>
        <v/>
      </c>
      <c r="G46" s="74"/>
      <c r="H46" s="75"/>
      <c r="I46" s="76" t="str">
        <f t="shared" si="2"/>
        <v/>
      </c>
    </row>
    <row r="47" spans="1:9" s="76" customFormat="1" ht="17">
      <c r="A47" s="74"/>
      <c r="B47" s="75"/>
      <c r="C47" s="76" t="str">
        <f t="shared" si="0"/>
        <v/>
      </c>
      <c r="D47" s="74"/>
      <c r="E47" s="75"/>
      <c r="F47" s="76" t="str">
        <f t="shared" si="1"/>
        <v/>
      </c>
      <c r="G47" s="74"/>
      <c r="H47" s="75"/>
      <c r="I47" s="76" t="str">
        <f t="shared" si="2"/>
        <v/>
      </c>
    </row>
    <row r="48" spans="1:9" s="76" customFormat="1" ht="17">
      <c r="A48" s="74"/>
      <c r="B48" s="75"/>
      <c r="C48" s="76" t="str">
        <f t="shared" si="0"/>
        <v/>
      </c>
      <c r="D48" s="74"/>
      <c r="E48" s="75"/>
      <c r="F48" s="76" t="str">
        <f t="shared" si="1"/>
        <v/>
      </c>
      <c r="G48" s="74"/>
      <c r="H48" s="75"/>
      <c r="I48" s="76" t="str">
        <f t="shared" si="2"/>
        <v/>
      </c>
    </row>
    <row r="49" spans="1:9" s="76" customFormat="1" ht="17">
      <c r="A49" s="74"/>
      <c r="B49" s="75"/>
      <c r="C49" s="76" t="str">
        <f t="shared" si="0"/>
        <v/>
      </c>
      <c r="D49" s="74"/>
      <c r="E49" s="75"/>
      <c r="F49" s="76" t="str">
        <f t="shared" si="1"/>
        <v/>
      </c>
      <c r="G49" s="74"/>
      <c r="H49" s="75"/>
      <c r="I49" s="76" t="str">
        <f t="shared" si="2"/>
        <v/>
      </c>
    </row>
    <row r="50" spans="1:9" s="76" customFormat="1" ht="17">
      <c r="A50" s="74"/>
      <c r="B50" s="75"/>
      <c r="C50" s="76" t="str">
        <f t="shared" si="0"/>
        <v/>
      </c>
      <c r="D50" s="74"/>
      <c r="E50" s="75"/>
      <c r="F50" s="76" t="str">
        <f t="shared" si="1"/>
        <v/>
      </c>
      <c r="G50" s="74"/>
      <c r="H50" s="75"/>
      <c r="I50" s="76" t="str">
        <f t="shared" si="2"/>
        <v/>
      </c>
    </row>
    <row r="51" spans="1:9" s="76" customFormat="1" ht="17">
      <c r="A51" s="74"/>
      <c r="B51" s="75"/>
      <c r="C51" s="76" t="str">
        <f t="shared" si="0"/>
        <v/>
      </c>
      <c r="D51" s="74"/>
      <c r="E51" s="75"/>
      <c r="F51" s="76" t="str">
        <f t="shared" si="1"/>
        <v/>
      </c>
      <c r="G51" s="74"/>
      <c r="H51" s="75"/>
      <c r="I51" s="76" t="str">
        <f t="shared" si="2"/>
        <v/>
      </c>
    </row>
    <row r="52" spans="1:9" s="76" customFormat="1" ht="17">
      <c r="A52" s="74"/>
      <c r="B52" s="75"/>
      <c r="C52" s="76" t="str">
        <f t="shared" si="0"/>
        <v/>
      </c>
      <c r="D52" s="74"/>
      <c r="E52" s="75"/>
      <c r="F52" s="76" t="str">
        <f t="shared" si="1"/>
        <v/>
      </c>
      <c r="G52" s="74"/>
      <c r="H52" s="75"/>
      <c r="I52" s="76" t="str">
        <f t="shared" si="2"/>
        <v/>
      </c>
    </row>
    <row r="53" spans="1:9" s="76" customFormat="1" ht="17">
      <c r="A53" s="74"/>
      <c r="B53" s="75"/>
      <c r="C53" s="76" t="str">
        <f t="shared" si="0"/>
        <v/>
      </c>
      <c r="D53" s="74"/>
      <c r="E53" s="75"/>
      <c r="F53" s="76" t="str">
        <f t="shared" si="1"/>
        <v/>
      </c>
      <c r="G53" s="74"/>
      <c r="H53" s="75"/>
      <c r="I53" s="76" t="str">
        <f t="shared" si="2"/>
        <v/>
      </c>
    </row>
    <row r="54" spans="1:9" s="76" customFormat="1" ht="17">
      <c r="A54" s="74"/>
      <c r="B54" s="75"/>
      <c r="C54" s="76" t="str">
        <f t="shared" si="0"/>
        <v/>
      </c>
      <c r="D54" s="74"/>
      <c r="E54" s="75"/>
      <c r="F54" s="76" t="str">
        <f t="shared" si="1"/>
        <v/>
      </c>
      <c r="G54" s="74"/>
      <c r="H54" s="75"/>
      <c r="I54" s="76" t="str">
        <f t="shared" si="2"/>
        <v/>
      </c>
    </row>
    <row r="55" spans="1:9" s="76" customFormat="1" ht="17">
      <c r="A55" s="74"/>
      <c r="B55" s="75"/>
      <c r="C55" s="76" t="str">
        <f t="shared" si="0"/>
        <v/>
      </c>
      <c r="D55" s="74"/>
      <c r="E55" s="75"/>
      <c r="F55" s="76" t="str">
        <f t="shared" si="1"/>
        <v/>
      </c>
      <c r="G55" s="74"/>
      <c r="H55" s="75"/>
      <c r="I55" s="76" t="str">
        <f t="shared" si="2"/>
        <v/>
      </c>
    </row>
    <row r="56" spans="1:9" s="76" customFormat="1" ht="17">
      <c r="A56" s="74"/>
      <c r="B56" s="75"/>
      <c r="C56" s="76" t="str">
        <f t="shared" si="0"/>
        <v/>
      </c>
      <c r="D56" s="74"/>
      <c r="E56" s="75"/>
      <c r="F56" s="76" t="str">
        <f t="shared" si="1"/>
        <v/>
      </c>
      <c r="G56" s="74"/>
      <c r="H56" s="75"/>
      <c r="I56" s="76" t="str">
        <f t="shared" si="2"/>
        <v/>
      </c>
    </row>
    <row r="57" spans="1:9" s="76" customFormat="1" ht="17">
      <c r="A57" s="74"/>
      <c r="B57" s="75"/>
      <c r="C57" s="76" t="str">
        <f t="shared" si="0"/>
        <v/>
      </c>
      <c r="D57" s="74"/>
      <c r="E57" s="75"/>
      <c r="F57" s="76" t="str">
        <f t="shared" si="1"/>
        <v/>
      </c>
      <c r="G57" s="74"/>
      <c r="H57" s="75"/>
      <c r="I57" s="76" t="str">
        <f t="shared" si="2"/>
        <v/>
      </c>
    </row>
    <row r="58" spans="1:9" s="76" customFormat="1" ht="17">
      <c r="A58" s="74"/>
      <c r="B58" s="75"/>
      <c r="C58" s="76" t="str">
        <f t="shared" si="0"/>
        <v/>
      </c>
      <c r="D58" s="74"/>
      <c r="E58" s="75"/>
      <c r="F58" s="76" t="str">
        <f t="shared" si="1"/>
        <v/>
      </c>
      <c r="G58" s="74"/>
      <c r="H58" s="75"/>
      <c r="I58" s="76" t="str">
        <f t="shared" si="2"/>
        <v/>
      </c>
    </row>
    <row r="59" spans="1:9" s="76" customFormat="1" ht="17">
      <c r="A59" s="74"/>
      <c r="B59" s="75"/>
      <c r="C59" s="76" t="str">
        <f t="shared" si="0"/>
        <v/>
      </c>
      <c r="D59" s="74"/>
      <c r="E59" s="75"/>
      <c r="F59" s="76" t="str">
        <f t="shared" si="1"/>
        <v/>
      </c>
      <c r="G59" s="74"/>
      <c r="H59" s="75"/>
      <c r="I59" s="76" t="str">
        <f t="shared" si="2"/>
        <v/>
      </c>
    </row>
    <row r="60" spans="1:9" s="76" customFormat="1" ht="17">
      <c r="A60" s="74"/>
      <c r="B60" s="75"/>
      <c r="C60" s="76" t="str">
        <f t="shared" si="0"/>
        <v/>
      </c>
      <c r="D60" s="74"/>
      <c r="E60" s="75"/>
      <c r="F60" s="76" t="str">
        <f t="shared" si="1"/>
        <v/>
      </c>
      <c r="G60" s="74"/>
      <c r="H60" s="75"/>
      <c r="I60" s="76" t="str">
        <f t="shared" si="2"/>
        <v/>
      </c>
    </row>
    <row r="61" spans="1:9" s="76" customFormat="1" ht="17">
      <c r="A61" s="74"/>
      <c r="B61" s="75"/>
      <c r="C61" s="76" t="str">
        <f t="shared" si="0"/>
        <v/>
      </c>
      <c r="D61" s="74"/>
      <c r="E61" s="75"/>
      <c r="F61" s="76" t="str">
        <f t="shared" si="1"/>
        <v/>
      </c>
      <c r="G61" s="74"/>
      <c r="H61" s="75"/>
      <c r="I61" s="76" t="str">
        <f t="shared" si="2"/>
        <v/>
      </c>
    </row>
    <row r="62" spans="1:9" s="76" customFormat="1" ht="17">
      <c r="A62" s="74"/>
      <c r="B62" s="75"/>
      <c r="C62" s="76" t="str">
        <f t="shared" si="0"/>
        <v/>
      </c>
      <c r="D62" s="74"/>
      <c r="E62" s="75"/>
      <c r="F62" s="76" t="str">
        <f t="shared" si="1"/>
        <v/>
      </c>
      <c r="G62" s="74"/>
      <c r="H62" s="75"/>
      <c r="I62" s="76" t="str">
        <f t="shared" si="2"/>
        <v/>
      </c>
    </row>
    <row r="63" spans="1:9" s="76" customFormat="1" ht="17">
      <c r="A63" s="74"/>
      <c r="B63" s="75"/>
      <c r="C63" s="76" t="str">
        <f t="shared" si="0"/>
        <v/>
      </c>
      <c r="D63" s="74"/>
      <c r="E63" s="75"/>
      <c r="F63" s="76" t="str">
        <f t="shared" si="1"/>
        <v/>
      </c>
      <c r="G63" s="74"/>
      <c r="H63" s="75"/>
      <c r="I63" s="76" t="str">
        <f t="shared" si="2"/>
        <v/>
      </c>
    </row>
    <row r="64" spans="1:9" s="76" customFormat="1" ht="17">
      <c r="A64" s="74"/>
      <c r="B64" s="75"/>
      <c r="C64" s="76" t="str">
        <f t="shared" si="0"/>
        <v/>
      </c>
      <c r="D64" s="74"/>
      <c r="E64" s="75"/>
      <c r="F64" s="76" t="str">
        <f t="shared" si="1"/>
        <v/>
      </c>
      <c r="G64" s="74"/>
      <c r="H64" s="75"/>
      <c r="I64" s="76" t="str">
        <f t="shared" si="2"/>
        <v/>
      </c>
    </row>
    <row r="65" spans="1:9" s="76" customFormat="1" ht="17">
      <c r="A65" s="74"/>
      <c r="B65" s="75"/>
      <c r="C65" s="76" t="str">
        <f t="shared" si="0"/>
        <v/>
      </c>
      <c r="D65" s="74"/>
      <c r="E65" s="75"/>
      <c r="F65" s="76" t="str">
        <f t="shared" si="1"/>
        <v/>
      </c>
      <c r="G65" s="74"/>
      <c r="H65" s="75"/>
      <c r="I65" s="76" t="str">
        <f t="shared" si="2"/>
        <v/>
      </c>
    </row>
    <row r="66" spans="1:9" s="76" customFormat="1" ht="17">
      <c r="A66" s="74"/>
      <c r="B66" s="75"/>
      <c r="C66" s="76" t="str">
        <f t="shared" si="0"/>
        <v/>
      </c>
      <c r="D66" s="74"/>
      <c r="E66" s="75"/>
      <c r="F66" s="76" t="str">
        <f t="shared" si="1"/>
        <v/>
      </c>
      <c r="G66" s="74"/>
      <c r="H66" s="75"/>
      <c r="I66" s="76" t="str">
        <f t="shared" si="2"/>
        <v/>
      </c>
    </row>
    <row r="67" spans="1:9" s="76" customFormat="1" ht="17">
      <c r="A67" s="74"/>
      <c r="B67" s="75"/>
      <c r="C67" s="76" t="str">
        <f t="shared" si="0"/>
        <v/>
      </c>
      <c r="D67" s="74"/>
      <c r="E67" s="75"/>
      <c r="F67" s="76" t="str">
        <f t="shared" si="1"/>
        <v/>
      </c>
      <c r="G67" s="74"/>
      <c r="H67" s="75"/>
      <c r="I67" s="76" t="str">
        <f t="shared" si="2"/>
        <v/>
      </c>
    </row>
    <row r="68" spans="1:9" s="76" customFormat="1" ht="17">
      <c r="A68" s="74"/>
      <c r="B68" s="75"/>
      <c r="C68" s="76" t="str">
        <f t="shared" si="0"/>
        <v/>
      </c>
      <c r="D68" s="74"/>
      <c r="E68" s="75"/>
      <c r="F68" s="76" t="str">
        <f t="shared" si="1"/>
        <v/>
      </c>
      <c r="G68" s="74"/>
      <c r="H68" s="75"/>
      <c r="I68" s="76" t="str">
        <f t="shared" si="2"/>
        <v/>
      </c>
    </row>
    <row r="69" spans="1:9" s="76" customFormat="1" ht="17">
      <c r="A69" s="74"/>
      <c r="B69" s="75"/>
      <c r="C69" s="76" t="str">
        <f t="shared" ref="C69:C132" si="3">IF(B69&gt;0,TEXT(B69,"(aaa)"),"")</f>
        <v/>
      </c>
      <c r="D69" s="74"/>
      <c r="E69" s="75"/>
      <c r="F69" s="76" t="str">
        <f t="shared" ref="F69:F132" si="4">IF(E69&gt;0,TEXT(E69,"(aaa)"),"")</f>
        <v/>
      </c>
      <c r="G69" s="74"/>
      <c r="H69" s="75"/>
      <c r="I69" s="76" t="str">
        <f t="shared" ref="I69:I132" si="5">IF(H69&gt;0,TEXT(H69,"(aaa)"),"")</f>
        <v/>
      </c>
    </row>
    <row r="70" spans="1:9" s="76" customFormat="1" ht="17">
      <c r="A70" s="74"/>
      <c r="B70" s="75"/>
      <c r="C70" s="76" t="str">
        <f t="shared" si="3"/>
        <v/>
      </c>
      <c r="D70" s="74"/>
      <c r="E70" s="75"/>
      <c r="F70" s="76" t="str">
        <f t="shared" si="4"/>
        <v/>
      </c>
      <c r="G70" s="74"/>
      <c r="H70" s="75"/>
      <c r="I70" s="76" t="str">
        <f t="shared" si="5"/>
        <v/>
      </c>
    </row>
    <row r="71" spans="1:9" s="76" customFormat="1" ht="17">
      <c r="A71" s="74"/>
      <c r="B71" s="75"/>
      <c r="C71" s="76" t="str">
        <f t="shared" si="3"/>
        <v/>
      </c>
      <c r="D71" s="74"/>
      <c r="E71" s="75"/>
      <c r="F71" s="76" t="str">
        <f t="shared" si="4"/>
        <v/>
      </c>
      <c r="G71" s="74"/>
      <c r="H71" s="75"/>
      <c r="I71" s="76" t="str">
        <f t="shared" si="5"/>
        <v/>
      </c>
    </row>
    <row r="72" spans="1:9" s="76" customFormat="1" ht="17">
      <c r="A72" s="74"/>
      <c r="B72" s="75"/>
      <c r="C72" s="76" t="str">
        <f t="shared" si="3"/>
        <v/>
      </c>
      <c r="D72" s="74"/>
      <c r="E72" s="75"/>
      <c r="F72" s="76" t="str">
        <f t="shared" si="4"/>
        <v/>
      </c>
      <c r="G72" s="74"/>
      <c r="H72" s="75"/>
      <c r="I72" s="76" t="str">
        <f t="shared" si="5"/>
        <v/>
      </c>
    </row>
    <row r="73" spans="1:9" s="76" customFormat="1" ht="17">
      <c r="A73" s="74"/>
      <c r="B73" s="75"/>
      <c r="C73" s="76" t="str">
        <f t="shared" si="3"/>
        <v/>
      </c>
      <c r="D73" s="74"/>
      <c r="E73" s="75"/>
      <c r="F73" s="76" t="str">
        <f t="shared" si="4"/>
        <v/>
      </c>
      <c r="G73" s="74"/>
      <c r="H73" s="75"/>
      <c r="I73" s="76" t="str">
        <f t="shared" si="5"/>
        <v/>
      </c>
    </row>
    <row r="74" spans="1:9" s="76" customFormat="1" ht="17">
      <c r="A74" s="74"/>
      <c r="B74" s="75"/>
      <c r="C74" s="76" t="str">
        <f t="shared" si="3"/>
        <v/>
      </c>
      <c r="D74" s="74"/>
      <c r="E74" s="75"/>
      <c r="F74" s="76" t="str">
        <f t="shared" si="4"/>
        <v/>
      </c>
      <c r="G74" s="74"/>
      <c r="H74" s="75"/>
      <c r="I74" s="76" t="str">
        <f t="shared" si="5"/>
        <v/>
      </c>
    </row>
    <row r="75" spans="1:9" s="76" customFormat="1" ht="17">
      <c r="A75" s="74"/>
      <c r="B75" s="75"/>
      <c r="C75" s="76" t="str">
        <f t="shared" si="3"/>
        <v/>
      </c>
      <c r="D75" s="74"/>
      <c r="E75" s="75"/>
      <c r="F75" s="76" t="str">
        <f t="shared" si="4"/>
        <v/>
      </c>
      <c r="G75" s="74"/>
      <c r="H75" s="75"/>
      <c r="I75" s="76" t="str">
        <f t="shared" si="5"/>
        <v/>
      </c>
    </row>
    <row r="76" spans="1:9" s="76" customFormat="1" ht="17">
      <c r="A76" s="74"/>
      <c r="B76" s="75"/>
      <c r="C76" s="76" t="str">
        <f t="shared" si="3"/>
        <v/>
      </c>
      <c r="D76" s="74"/>
      <c r="E76" s="75"/>
      <c r="F76" s="76" t="str">
        <f t="shared" si="4"/>
        <v/>
      </c>
      <c r="G76" s="74"/>
      <c r="H76" s="75"/>
      <c r="I76" s="76" t="str">
        <f t="shared" si="5"/>
        <v/>
      </c>
    </row>
    <row r="77" spans="1:9" s="76" customFormat="1" ht="17">
      <c r="A77" s="74"/>
      <c r="B77" s="75"/>
      <c r="C77" s="76" t="str">
        <f t="shared" si="3"/>
        <v/>
      </c>
      <c r="D77" s="74"/>
      <c r="E77" s="75"/>
      <c r="F77" s="76" t="str">
        <f t="shared" si="4"/>
        <v/>
      </c>
      <c r="G77" s="74"/>
      <c r="H77" s="75"/>
      <c r="I77" s="76" t="str">
        <f t="shared" si="5"/>
        <v/>
      </c>
    </row>
    <row r="78" spans="1:9" s="76" customFormat="1" ht="17">
      <c r="A78" s="74"/>
      <c r="B78" s="75"/>
      <c r="C78" s="76" t="str">
        <f t="shared" si="3"/>
        <v/>
      </c>
      <c r="D78" s="74"/>
      <c r="E78" s="75"/>
      <c r="F78" s="76" t="str">
        <f t="shared" si="4"/>
        <v/>
      </c>
      <c r="G78" s="74"/>
      <c r="H78" s="75"/>
      <c r="I78" s="76" t="str">
        <f t="shared" si="5"/>
        <v/>
      </c>
    </row>
    <row r="79" spans="1:9" s="76" customFormat="1" ht="17">
      <c r="A79" s="74"/>
      <c r="B79" s="75"/>
      <c r="C79" s="76" t="str">
        <f t="shared" si="3"/>
        <v/>
      </c>
      <c r="D79" s="74"/>
      <c r="E79" s="75"/>
      <c r="F79" s="76" t="str">
        <f t="shared" si="4"/>
        <v/>
      </c>
      <c r="G79" s="74"/>
      <c r="H79" s="75"/>
      <c r="I79" s="76" t="str">
        <f t="shared" si="5"/>
        <v/>
      </c>
    </row>
    <row r="80" spans="1:9" s="76" customFormat="1" ht="17">
      <c r="A80" s="74"/>
      <c r="B80" s="75"/>
      <c r="C80" s="76" t="str">
        <f t="shared" si="3"/>
        <v/>
      </c>
      <c r="D80" s="74"/>
      <c r="E80" s="75"/>
      <c r="F80" s="76" t="str">
        <f t="shared" si="4"/>
        <v/>
      </c>
      <c r="G80" s="74"/>
      <c r="H80" s="75"/>
      <c r="I80" s="76" t="str">
        <f t="shared" si="5"/>
        <v/>
      </c>
    </row>
    <row r="81" spans="1:9" s="76" customFormat="1" ht="17">
      <c r="A81" s="74"/>
      <c r="B81" s="75"/>
      <c r="C81" s="76" t="str">
        <f t="shared" si="3"/>
        <v/>
      </c>
      <c r="D81" s="74"/>
      <c r="E81" s="75"/>
      <c r="F81" s="76" t="str">
        <f t="shared" si="4"/>
        <v/>
      </c>
      <c r="G81" s="74"/>
      <c r="H81" s="75"/>
      <c r="I81" s="76" t="str">
        <f t="shared" si="5"/>
        <v/>
      </c>
    </row>
    <row r="82" spans="1:9" s="76" customFormat="1" ht="17">
      <c r="A82" s="74"/>
      <c r="B82" s="75"/>
      <c r="C82" s="76" t="str">
        <f t="shared" si="3"/>
        <v/>
      </c>
      <c r="D82" s="74"/>
      <c r="E82" s="75"/>
      <c r="F82" s="76" t="str">
        <f t="shared" si="4"/>
        <v/>
      </c>
      <c r="G82" s="74"/>
      <c r="H82" s="75"/>
      <c r="I82" s="76" t="str">
        <f t="shared" si="5"/>
        <v/>
      </c>
    </row>
    <row r="83" spans="1:9" s="76" customFormat="1" ht="17">
      <c r="A83" s="74"/>
      <c r="B83" s="75"/>
      <c r="C83" s="76" t="str">
        <f t="shared" si="3"/>
        <v/>
      </c>
      <c r="D83" s="74"/>
      <c r="E83" s="75"/>
      <c r="F83" s="76" t="str">
        <f t="shared" si="4"/>
        <v/>
      </c>
      <c r="G83" s="74"/>
      <c r="H83" s="75"/>
      <c r="I83" s="76" t="str">
        <f t="shared" si="5"/>
        <v/>
      </c>
    </row>
    <row r="84" spans="1:9" s="76" customFormat="1" ht="17">
      <c r="A84" s="74"/>
      <c r="B84" s="75"/>
      <c r="C84" s="76" t="str">
        <f t="shared" si="3"/>
        <v/>
      </c>
      <c r="D84" s="74"/>
      <c r="E84" s="75"/>
      <c r="F84" s="76" t="str">
        <f t="shared" si="4"/>
        <v/>
      </c>
      <c r="G84" s="74"/>
      <c r="H84" s="75"/>
      <c r="I84" s="76" t="str">
        <f t="shared" si="5"/>
        <v/>
      </c>
    </row>
    <row r="85" spans="1:9" s="76" customFormat="1" ht="17">
      <c r="A85" s="74"/>
      <c r="B85" s="75"/>
      <c r="C85" s="76" t="str">
        <f t="shared" si="3"/>
        <v/>
      </c>
      <c r="D85" s="74"/>
      <c r="E85" s="75"/>
      <c r="F85" s="76" t="str">
        <f t="shared" si="4"/>
        <v/>
      </c>
      <c r="G85" s="74"/>
      <c r="H85" s="75"/>
      <c r="I85" s="76" t="str">
        <f t="shared" si="5"/>
        <v/>
      </c>
    </row>
    <row r="86" spans="1:9" s="76" customFormat="1" ht="17">
      <c r="A86" s="74"/>
      <c r="B86" s="75"/>
      <c r="C86" s="76" t="str">
        <f t="shared" si="3"/>
        <v/>
      </c>
      <c r="D86" s="74"/>
      <c r="E86" s="75"/>
      <c r="F86" s="76" t="str">
        <f t="shared" si="4"/>
        <v/>
      </c>
      <c r="G86" s="74"/>
      <c r="H86" s="75"/>
      <c r="I86" s="76" t="str">
        <f t="shared" si="5"/>
        <v/>
      </c>
    </row>
    <row r="87" spans="1:9" s="76" customFormat="1" ht="17">
      <c r="A87" s="74"/>
      <c r="B87" s="75"/>
      <c r="C87" s="76" t="str">
        <f t="shared" si="3"/>
        <v/>
      </c>
      <c r="D87" s="74"/>
      <c r="E87" s="75"/>
      <c r="F87" s="76" t="str">
        <f t="shared" si="4"/>
        <v/>
      </c>
      <c r="G87" s="74"/>
      <c r="H87" s="75"/>
      <c r="I87" s="76" t="str">
        <f t="shared" si="5"/>
        <v/>
      </c>
    </row>
    <row r="88" spans="1:9" s="76" customFormat="1" ht="17">
      <c r="A88" s="74"/>
      <c r="B88" s="75"/>
      <c r="C88" s="76" t="str">
        <f t="shared" si="3"/>
        <v/>
      </c>
      <c r="D88" s="74"/>
      <c r="E88" s="75"/>
      <c r="F88" s="76" t="str">
        <f t="shared" si="4"/>
        <v/>
      </c>
      <c r="G88" s="74"/>
      <c r="H88" s="75"/>
      <c r="I88" s="76" t="str">
        <f t="shared" si="5"/>
        <v/>
      </c>
    </row>
    <row r="89" spans="1:9" s="76" customFormat="1" ht="17">
      <c r="A89" s="74"/>
      <c r="B89" s="75"/>
      <c r="C89" s="76" t="str">
        <f t="shared" si="3"/>
        <v/>
      </c>
      <c r="D89" s="74"/>
      <c r="E89" s="75"/>
      <c r="F89" s="76" t="str">
        <f t="shared" si="4"/>
        <v/>
      </c>
      <c r="G89" s="74"/>
      <c r="H89" s="75"/>
      <c r="I89" s="76" t="str">
        <f t="shared" si="5"/>
        <v/>
      </c>
    </row>
    <row r="90" spans="1:9" s="76" customFormat="1" ht="17">
      <c r="A90" s="74"/>
      <c r="B90" s="75"/>
      <c r="C90" s="76" t="str">
        <f t="shared" si="3"/>
        <v/>
      </c>
      <c r="D90" s="74"/>
      <c r="E90" s="75"/>
      <c r="F90" s="76" t="str">
        <f t="shared" si="4"/>
        <v/>
      </c>
      <c r="G90" s="74"/>
      <c r="H90" s="75"/>
      <c r="I90" s="76" t="str">
        <f t="shared" si="5"/>
        <v/>
      </c>
    </row>
    <row r="91" spans="1:9" s="76" customFormat="1" ht="17">
      <c r="A91" s="74"/>
      <c r="B91" s="75"/>
      <c r="C91" s="76" t="str">
        <f t="shared" si="3"/>
        <v/>
      </c>
      <c r="D91" s="74"/>
      <c r="E91" s="75"/>
      <c r="F91" s="76" t="str">
        <f t="shared" si="4"/>
        <v/>
      </c>
      <c r="G91" s="74"/>
      <c r="H91" s="75"/>
      <c r="I91" s="76" t="str">
        <f t="shared" si="5"/>
        <v/>
      </c>
    </row>
    <row r="92" spans="1:9" s="76" customFormat="1" ht="17">
      <c r="A92" s="74"/>
      <c r="B92" s="75"/>
      <c r="C92" s="76" t="str">
        <f t="shared" si="3"/>
        <v/>
      </c>
      <c r="D92" s="74"/>
      <c r="E92" s="75"/>
      <c r="F92" s="76" t="str">
        <f t="shared" si="4"/>
        <v/>
      </c>
      <c r="G92" s="74"/>
      <c r="H92" s="75"/>
      <c r="I92" s="76" t="str">
        <f t="shared" si="5"/>
        <v/>
      </c>
    </row>
    <row r="93" spans="1:9" s="76" customFormat="1" ht="17">
      <c r="A93" s="74"/>
      <c r="B93" s="75"/>
      <c r="C93" s="76" t="str">
        <f t="shared" si="3"/>
        <v/>
      </c>
      <c r="D93" s="74"/>
      <c r="E93" s="75"/>
      <c r="F93" s="76" t="str">
        <f t="shared" si="4"/>
        <v/>
      </c>
      <c r="G93" s="74"/>
      <c r="H93" s="75"/>
      <c r="I93" s="76" t="str">
        <f t="shared" si="5"/>
        <v/>
      </c>
    </row>
    <row r="94" spans="1:9" s="76" customFormat="1" ht="17">
      <c r="A94" s="74"/>
      <c r="B94" s="75"/>
      <c r="C94" s="76" t="str">
        <f t="shared" si="3"/>
        <v/>
      </c>
      <c r="D94" s="74"/>
      <c r="E94" s="75"/>
      <c r="F94" s="76" t="str">
        <f t="shared" si="4"/>
        <v/>
      </c>
      <c r="G94" s="74"/>
      <c r="H94" s="75"/>
      <c r="I94" s="76" t="str">
        <f t="shared" si="5"/>
        <v/>
      </c>
    </row>
    <row r="95" spans="1:9" s="76" customFormat="1" ht="17">
      <c r="A95" s="74"/>
      <c r="B95" s="75"/>
      <c r="C95" s="76" t="str">
        <f t="shared" si="3"/>
        <v/>
      </c>
      <c r="D95" s="74"/>
      <c r="E95" s="75"/>
      <c r="F95" s="76" t="str">
        <f t="shared" si="4"/>
        <v/>
      </c>
      <c r="G95" s="74"/>
      <c r="H95" s="75"/>
      <c r="I95" s="76" t="str">
        <f t="shared" si="5"/>
        <v/>
      </c>
    </row>
    <row r="96" spans="1:9" s="76" customFormat="1" ht="17">
      <c r="A96" s="74"/>
      <c r="B96" s="75"/>
      <c r="C96" s="76" t="str">
        <f t="shared" si="3"/>
        <v/>
      </c>
      <c r="D96" s="74"/>
      <c r="E96" s="75"/>
      <c r="F96" s="76" t="str">
        <f t="shared" si="4"/>
        <v/>
      </c>
      <c r="G96" s="74"/>
      <c r="H96" s="75"/>
      <c r="I96" s="76" t="str">
        <f t="shared" si="5"/>
        <v/>
      </c>
    </row>
    <row r="97" spans="1:9" s="76" customFormat="1" ht="17">
      <c r="A97" s="74"/>
      <c r="B97" s="75"/>
      <c r="C97" s="76" t="str">
        <f t="shared" si="3"/>
        <v/>
      </c>
      <c r="D97" s="74"/>
      <c r="E97" s="75"/>
      <c r="F97" s="76" t="str">
        <f t="shared" si="4"/>
        <v/>
      </c>
      <c r="G97" s="74"/>
      <c r="H97" s="75"/>
      <c r="I97" s="76" t="str">
        <f t="shared" si="5"/>
        <v/>
      </c>
    </row>
    <row r="98" spans="1:9" s="76" customFormat="1" ht="17">
      <c r="A98" s="74"/>
      <c r="B98" s="75"/>
      <c r="C98" s="76" t="str">
        <f t="shared" si="3"/>
        <v/>
      </c>
      <c r="D98" s="74"/>
      <c r="E98" s="75"/>
      <c r="F98" s="76" t="str">
        <f t="shared" si="4"/>
        <v/>
      </c>
      <c r="G98" s="74"/>
      <c r="H98" s="75"/>
      <c r="I98" s="76" t="str">
        <f t="shared" si="5"/>
        <v/>
      </c>
    </row>
    <row r="99" spans="1:9" s="76" customFormat="1" ht="17">
      <c r="A99" s="74"/>
      <c r="B99" s="75"/>
      <c r="C99" s="76" t="str">
        <f t="shared" si="3"/>
        <v/>
      </c>
      <c r="D99" s="74"/>
      <c r="E99" s="75"/>
      <c r="F99" s="76" t="str">
        <f t="shared" si="4"/>
        <v/>
      </c>
      <c r="G99" s="74"/>
      <c r="H99" s="75"/>
      <c r="I99" s="76" t="str">
        <f t="shared" si="5"/>
        <v/>
      </c>
    </row>
    <row r="100" spans="1:9" s="76" customFormat="1" ht="17">
      <c r="A100" s="74"/>
      <c r="B100" s="75"/>
      <c r="C100" s="76" t="str">
        <f t="shared" si="3"/>
        <v/>
      </c>
      <c r="D100" s="74"/>
      <c r="E100" s="75"/>
      <c r="F100" s="76" t="str">
        <f t="shared" si="4"/>
        <v/>
      </c>
      <c r="G100" s="74"/>
      <c r="H100" s="75"/>
      <c r="I100" s="76" t="str">
        <f t="shared" si="5"/>
        <v/>
      </c>
    </row>
    <row r="101" spans="1:9" s="76" customFormat="1" ht="17">
      <c r="A101" s="74"/>
      <c r="B101" s="75"/>
      <c r="C101" s="76" t="str">
        <f t="shared" si="3"/>
        <v/>
      </c>
      <c r="D101" s="74"/>
      <c r="E101" s="75"/>
      <c r="F101" s="76" t="str">
        <f t="shared" si="4"/>
        <v/>
      </c>
      <c r="G101" s="74"/>
      <c r="H101" s="75"/>
      <c r="I101" s="76" t="str">
        <f t="shared" si="5"/>
        <v/>
      </c>
    </row>
    <row r="102" spans="1:9" s="76" customFormat="1" ht="17">
      <c r="A102" s="74"/>
      <c r="B102" s="75"/>
      <c r="C102" s="76" t="str">
        <f t="shared" si="3"/>
        <v/>
      </c>
      <c r="D102" s="74"/>
      <c r="E102" s="75"/>
      <c r="F102" s="76" t="str">
        <f t="shared" si="4"/>
        <v/>
      </c>
      <c r="G102" s="74"/>
      <c r="H102" s="75"/>
      <c r="I102" s="76" t="str">
        <f t="shared" si="5"/>
        <v/>
      </c>
    </row>
    <row r="103" spans="1:9" s="76" customFormat="1" ht="17">
      <c r="A103" s="74"/>
      <c r="B103" s="75"/>
      <c r="C103" s="76" t="str">
        <f t="shared" si="3"/>
        <v/>
      </c>
      <c r="D103" s="74"/>
      <c r="E103" s="75"/>
      <c r="F103" s="76" t="str">
        <f t="shared" si="4"/>
        <v/>
      </c>
      <c r="G103" s="74"/>
      <c r="H103" s="75"/>
      <c r="I103" s="76" t="str">
        <f t="shared" si="5"/>
        <v/>
      </c>
    </row>
    <row r="104" spans="1:9" s="76" customFormat="1" ht="17">
      <c r="A104" s="74"/>
      <c r="B104" s="75"/>
      <c r="C104" s="76" t="str">
        <f t="shared" si="3"/>
        <v/>
      </c>
      <c r="D104" s="74"/>
      <c r="E104" s="75"/>
      <c r="F104" s="76" t="str">
        <f t="shared" si="4"/>
        <v/>
      </c>
      <c r="G104" s="74"/>
      <c r="H104" s="75"/>
      <c r="I104" s="76" t="str">
        <f t="shared" si="5"/>
        <v/>
      </c>
    </row>
    <row r="105" spans="1:9" s="76" customFormat="1" ht="17">
      <c r="A105" s="74"/>
      <c r="B105" s="75"/>
      <c r="C105" s="76" t="str">
        <f t="shared" si="3"/>
        <v/>
      </c>
      <c r="D105" s="74"/>
      <c r="E105" s="75"/>
      <c r="F105" s="76" t="str">
        <f t="shared" si="4"/>
        <v/>
      </c>
      <c r="G105" s="74"/>
      <c r="H105" s="75"/>
      <c r="I105" s="76" t="str">
        <f t="shared" si="5"/>
        <v/>
      </c>
    </row>
    <row r="106" spans="1:9" s="76" customFormat="1" ht="17">
      <c r="A106" s="74"/>
      <c r="B106" s="75"/>
      <c r="C106" s="76" t="str">
        <f t="shared" si="3"/>
        <v/>
      </c>
      <c r="D106" s="74"/>
      <c r="E106" s="75"/>
      <c r="F106" s="76" t="str">
        <f t="shared" si="4"/>
        <v/>
      </c>
      <c r="G106" s="74"/>
      <c r="H106" s="75"/>
      <c r="I106" s="76" t="str">
        <f t="shared" si="5"/>
        <v/>
      </c>
    </row>
    <row r="107" spans="1:9" s="76" customFormat="1" ht="17">
      <c r="A107" s="74"/>
      <c r="B107" s="75"/>
      <c r="C107" s="76" t="str">
        <f t="shared" si="3"/>
        <v/>
      </c>
      <c r="D107" s="74"/>
      <c r="E107" s="75"/>
      <c r="F107" s="76" t="str">
        <f t="shared" si="4"/>
        <v/>
      </c>
      <c r="G107" s="74"/>
      <c r="H107" s="75"/>
      <c r="I107" s="76" t="str">
        <f t="shared" si="5"/>
        <v/>
      </c>
    </row>
    <row r="108" spans="1:9" s="76" customFormat="1" ht="17">
      <c r="A108" s="74"/>
      <c r="B108" s="75"/>
      <c r="C108" s="76" t="str">
        <f t="shared" si="3"/>
        <v/>
      </c>
      <c r="D108" s="74"/>
      <c r="E108" s="75"/>
      <c r="F108" s="76" t="str">
        <f t="shared" si="4"/>
        <v/>
      </c>
      <c r="G108" s="74"/>
      <c r="H108" s="75"/>
      <c r="I108" s="76" t="str">
        <f t="shared" si="5"/>
        <v/>
      </c>
    </row>
    <row r="109" spans="1:9" s="76" customFormat="1" ht="17">
      <c r="A109" s="74"/>
      <c r="B109" s="75"/>
      <c r="C109" s="76" t="str">
        <f t="shared" si="3"/>
        <v/>
      </c>
      <c r="D109" s="74"/>
      <c r="E109" s="75"/>
      <c r="F109" s="76" t="str">
        <f t="shared" si="4"/>
        <v/>
      </c>
      <c r="G109" s="74"/>
      <c r="H109" s="75"/>
      <c r="I109" s="76" t="str">
        <f t="shared" si="5"/>
        <v/>
      </c>
    </row>
    <row r="110" spans="1:9" s="76" customFormat="1" ht="17">
      <c r="A110" s="74"/>
      <c r="B110" s="75"/>
      <c r="C110" s="76" t="str">
        <f t="shared" si="3"/>
        <v/>
      </c>
      <c r="D110" s="74"/>
      <c r="E110" s="75"/>
      <c r="F110" s="76" t="str">
        <f t="shared" si="4"/>
        <v/>
      </c>
      <c r="G110" s="74"/>
      <c r="H110" s="75"/>
      <c r="I110" s="76" t="str">
        <f t="shared" si="5"/>
        <v/>
      </c>
    </row>
    <row r="111" spans="1:9" s="76" customFormat="1" ht="17">
      <c r="A111" s="74"/>
      <c r="B111" s="75"/>
      <c r="C111" s="76" t="str">
        <f t="shared" si="3"/>
        <v/>
      </c>
      <c r="D111" s="74"/>
      <c r="E111" s="75"/>
      <c r="F111" s="76" t="str">
        <f t="shared" si="4"/>
        <v/>
      </c>
      <c r="G111" s="74"/>
      <c r="H111" s="75"/>
      <c r="I111" s="76" t="str">
        <f t="shared" si="5"/>
        <v/>
      </c>
    </row>
    <row r="112" spans="1:9" s="76" customFormat="1" ht="17">
      <c r="A112" s="74"/>
      <c r="B112" s="75"/>
      <c r="C112" s="76" t="str">
        <f t="shared" si="3"/>
        <v/>
      </c>
      <c r="D112" s="74"/>
      <c r="E112" s="75"/>
      <c r="F112" s="76" t="str">
        <f t="shared" si="4"/>
        <v/>
      </c>
      <c r="G112" s="74"/>
      <c r="H112" s="75"/>
      <c r="I112" s="76" t="str">
        <f t="shared" si="5"/>
        <v/>
      </c>
    </row>
    <row r="113" spans="1:9" s="76" customFormat="1" ht="17">
      <c r="A113" s="74"/>
      <c r="B113" s="75"/>
      <c r="C113" s="76" t="str">
        <f t="shared" si="3"/>
        <v/>
      </c>
      <c r="D113" s="74"/>
      <c r="E113" s="75"/>
      <c r="F113" s="76" t="str">
        <f t="shared" si="4"/>
        <v/>
      </c>
      <c r="G113" s="74"/>
      <c r="H113" s="75"/>
      <c r="I113" s="76" t="str">
        <f t="shared" si="5"/>
        <v/>
      </c>
    </row>
    <row r="114" spans="1:9" s="76" customFormat="1" ht="17">
      <c r="A114" s="74"/>
      <c r="B114" s="75"/>
      <c r="C114" s="76" t="str">
        <f t="shared" si="3"/>
        <v/>
      </c>
      <c r="D114" s="74"/>
      <c r="E114" s="75"/>
      <c r="F114" s="76" t="str">
        <f t="shared" si="4"/>
        <v/>
      </c>
      <c r="G114" s="74"/>
      <c r="H114" s="75"/>
      <c r="I114" s="76" t="str">
        <f t="shared" si="5"/>
        <v/>
      </c>
    </row>
    <row r="115" spans="1:9" s="76" customFormat="1" ht="17">
      <c r="A115" s="74"/>
      <c r="B115" s="75"/>
      <c r="C115" s="76" t="str">
        <f t="shared" si="3"/>
        <v/>
      </c>
      <c r="D115" s="74"/>
      <c r="E115" s="75"/>
      <c r="F115" s="76" t="str">
        <f t="shared" si="4"/>
        <v/>
      </c>
      <c r="G115" s="74"/>
      <c r="H115" s="75"/>
      <c r="I115" s="76" t="str">
        <f t="shared" si="5"/>
        <v/>
      </c>
    </row>
    <row r="116" spans="1:9" s="76" customFormat="1" ht="17">
      <c r="A116" s="74"/>
      <c r="B116" s="75"/>
      <c r="C116" s="76" t="str">
        <f t="shared" si="3"/>
        <v/>
      </c>
      <c r="D116" s="74"/>
      <c r="E116" s="75"/>
      <c r="F116" s="76" t="str">
        <f t="shared" si="4"/>
        <v/>
      </c>
      <c r="G116" s="74"/>
      <c r="H116" s="75"/>
      <c r="I116" s="76" t="str">
        <f t="shared" si="5"/>
        <v/>
      </c>
    </row>
    <row r="117" spans="1:9" s="76" customFormat="1" ht="17">
      <c r="A117" s="74"/>
      <c r="B117" s="75"/>
      <c r="C117" s="76" t="str">
        <f t="shared" si="3"/>
        <v/>
      </c>
      <c r="D117" s="74"/>
      <c r="E117" s="75"/>
      <c r="F117" s="76" t="str">
        <f t="shared" si="4"/>
        <v/>
      </c>
      <c r="G117" s="74"/>
      <c r="H117" s="75"/>
      <c r="I117" s="76" t="str">
        <f t="shared" si="5"/>
        <v/>
      </c>
    </row>
    <row r="118" spans="1:9" s="76" customFormat="1" ht="17">
      <c r="A118" s="74"/>
      <c r="B118" s="75"/>
      <c r="C118" s="76" t="str">
        <f t="shared" si="3"/>
        <v/>
      </c>
      <c r="D118" s="74"/>
      <c r="E118" s="75"/>
      <c r="F118" s="76" t="str">
        <f t="shared" si="4"/>
        <v/>
      </c>
      <c r="G118" s="74"/>
      <c r="H118" s="75"/>
      <c r="I118" s="76" t="str">
        <f t="shared" si="5"/>
        <v/>
      </c>
    </row>
    <row r="119" spans="1:9" s="76" customFormat="1" ht="17">
      <c r="A119" s="74"/>
      <c r="B119" s="75"/>
      <c r="C119" s="76" t="str">
        <f t="shared" si="3"/>
        <v/>
      </c>
      <c r="D119" s="74"/>
      <c r="E119" s="75"/>
      <c r="F119" s="76" t="str">
        <f t="shared" si="4"/>
        <v/>
      </c>
      <c r="G119" s="74"/>
      <c r="H119" s="75"/>
      <c r="I119" s="76" t="str">
        <f t="shared" si="5"/>
        <v/>
      </c>
    </row>
    <row r="120" spans="1:9" s="76" customFormat="1" ht="17">
      <c r="A120" s="74"/>
      <c r="B120" s="75"/>
      <c r="C120" s="76" t="str">
        <f t="shared" si="3"/>
        <v/>
      </c>
      <c r="D120" s="74"/>
      <c r="E120" s="75"/>
      <c r="F120" s="76" t="str">
        <f t="shared" si="4"/>
        <v/>
      </c>
      <c r="G120" s="74"/>
      <c r="H120" s="75"/>
      <c r="I120" s="76" t="str">
        <f t="shared" si="5"/>
        <v/>
      </c>
    </row>
    <row r="121" spans="1:9" s="76" customFormat="1" ht="17">
      <c r="A121" s="74"/>
      <c r="B121" s="75"/>
      <c r="C121" s="76" t="str">
        <f t="shared" si="3"/>
        <v/>
      </c>
      <c r="D121" s="74"/>
      <c r="E121" s="75"/>
      <c r="F121" s="76" t="str">
        <f t="shared" si="4"/>
        <v/>
      </c>
      <c r="G121" s="74"/>
      <c r="H121" s="75"/>
      <c r="I121" s="76" t="str">
        <f t="shared" si="5"/>
        <v/>
      </c>
    </row>
    <row r="122" spans="1:9" s="76" customFormat="1" ht="17">
      <c r="A122" s="74"/>
      <c r="B122" s="75"/>
      <c r="C122" s="76" t="str">
        <f t="shared" si="3"/>
        <v/>
      </c>
      <c r="D122" s="74"/>
      <c r="E122" s="75"/>
      <c r="F122" s="76" t="str">
        <f t="shared" si="4"/>
        <v/>
      </c>
      <c r="G122" s="74"/>
      <c r="H122" s="75"/>
      <c r="I122" s="76" t="str">
        <f t="shared" si="5"/>
        <v/>
      </c>
    </row>
    <row r="123" spans="1:9" s="76" customFormat="1" ht="17">
      <c r="A123" s="74"/>
      <c r="B123" s="75"/>
      <c r="C123" s="76" t="str">
        <f t="shared" si="3"/>
        <v/>
      </c>
      <c r="D123" s="74"/>
      <c r="E123" s="75"/>
      <c r="F123" s="76" t="str">
        <f t="shared" si="4"/>
        <v/>
      </c>
      <c r="G123" s="74"/>
      <c r="H123" s="75"/>
      <c r="I123" s="76" t="str">
        <f t="shared" si="5"/>
        <v/>
      </c>
    </row>
    <row r="124" spans="1:9" s="76" customFormat="1" ht="17">
      <c r="A124" s="74"/>
      <c r="B124" s="75"/>
      <c r="C124" s="76" t="str">
        <f t="shared" si="3"/>
        <v/>
      </c>
      <c r="D124" s="74"/>
      <c r="E124" s="75"/>
      <c r="F124" s="76" t="str">
        <f t="shared" si="4"/>
        <v/>
      </c>
      <c r="G124" s="74"/>
      <c r="H124" s="75"/>
      <c r="I124" s="76" t="str">
        <f t="shared" si="5"/>
        <v/>
      </c>
    </row>
    <row r="125" spans="1:9" s="76" customFormat="1" ht="17">
      <c r="A125" s="74"/>
      <c r="B125" s="75"/>
      <c r="C125" s="76" t="str">
        <f t="shared" si="3"/>
        <v/>
      </c>
      <c r="D125" s="74"/>
      <c r="E125" s="75"/>
      <c r="F125" s="76" t="str">
        <f t="shared" si="4"/>
        <v/>
      </c>
      <c r="G125" s="74"/>
      <c r="H125" s="75"/>
      <c r="I125" s="76" t="str">
        <f t="shared" si="5"/>
        <v/>
      </c>
    </row>
    <row r="126" spans="1:9" s="76" customFormat="1" ht="17">
      <c r="A126" s="74"/>
      <c r="B126" s="75"/>
      <c r="C126" s="76" t="str">
        <f t="shared" si="3"/>
        <v/>
      </c>
      <c r="D126" s="74"/>
      <c r="E126" s="75"/>
      <c r="F126" s="76" t="str">
        <f t="shared" si="4"/>
        <v/>
      </c>
      <c r="G126" s="74"/>
      <c r="H126" s="75"/>
      <c r="I126" s="76" t="str">
        <f t="shared" si="5"/>
        <v/>
      </c>
    </row>
    <row r="127" spans="1:9" s="76" customFormat="1" ht="17">
      <c r="A127" s="74"/>
      <c r="B127" s="75"/>
      <c r="C127" s="76" t="str">
        <f t="shared" si="3"/>
        <v/>
      </c>
      <c r="D127" s="74"/>
      <c r="E127" s="75"/>
      <c r="F127" s="76" t="str">
        <f t="shared" si="4"/>
        <v/>
      </c>
      <c r="G127" s="74"/>
      <c r="H127" s="75"/>
      <c r="I127" s="76" t="str">
        <f t="shared" si="5"/>
        <v/>
      </c>
    </row>
    <row r="128" spans="1:9" s="76" customFormat="1" ht="17">
      <c r="A128" s="74"/>
      <c r="B128" s="75"/>
      <c r="C128" s="76" t="str">
        <f t="shared" si="3"/>
        <v/>
      </c>
      <c r="D128" s="74"/>
      <c r="E128" s="75"/>
      <c r="F128" s="76" t="str">
        <f t="shared" si="4"/>
        <v/>
      </c>
      <c r="G128" s="74"/>
      <c r="H128" s="75"/>
      <c r="I128" s="76" t="str">
        <f t="shared" si="5"/>
        <v/>
      </c>
    </row>
    <row r="129" spans="1:9" s="76" customFormat="1" ht="17">
      <c r="A129" s="74"/>
      <c r="B129" s="75"/>
      <c r="C129" s="76" t="str">
        <f t="shared" si="3"/>
        <v/>
      </c>
      <c r="D129" s="74"/>
      <c r="E129" s="75"/>
      <c r="F129" s="76" t="str">
        <f t="shared" si="4"/>
        <v/>
      </c>
      <c r="G129" s="74"/>
      <c r="H129" s="75"/>
      <c r="I129" s="76" t="str">
        <f t="shared" si="5"/>
        <v/>
      </c>
    </row>
    <row r="130" spans="1:9" s="76" customFormat="1" ht="17">
      <c r="A130" s="74"/>
      <c r="B130" s="75"/>
      <c r="C130" s="76" t="str">
        <f t="shared" si="3"/>
        <v/>
      </c>
      <c r="D130" s="74"/>
      <c r="E130" s="75"/>
      <c r="F130" s="76" t="str">
        <f t="shared" si="4"/>
        <v/>
      </c>
      <c r="G130" s="74"/>
      <c r="H130" s="75"/>
      <c r="I130" s="76" t="str">
        <f t="shared" si="5"/>
        <v/>
      </c>
    </row>
    <row r="131" spans="1:9" s="76" customFormat="1" ht="17">
      <c r="A131" s="74"/>
      <c r="B131" s="75"/>
      <c r="C131" s="76" t="str">
        <f t="shared" si="3"/>
        <v/>
      </c>
      <c r="D131" s="74"/>
      <c r="E131" s="75"/>
      <c r="F131" s="76" t="str">
        <f t="shared" si="4"/>
        <v/>
      </c>
      <c r="G131" s="74"/>
      <c r="H131" s="75"/>
      <c r="I131" s="76" t="str">
        <f t="shared" si="5"/>
        <v/>
      </c>
    </row>
    <row r="132" spans="1:9" s="76" customFormat="1" ht="17">
      <c r="A132" s="74"/>
      <c r="B132" s="75"/>
      <c r="C132" s="76" t="str">
        <f t="shared" si="3"/>
        <v/>
      </c>
      <c r="D132" s="74"/>
      <c r="E132" s="75"/>
      <c r="F132" s="76" t="str">
        <f t="shared" si="4"/>
        <v/>
      </c>
      <c r="G132" s="74"/>
      <c r="H132" s="75"/>
      <c r="I132" s="76" t="str">
        <f t="shared" si="5"/>
        <v/>
      </c>
    </row>
    <row r="133" spans="1:9" s="76" customFormat="1" ht="17">
      <c r="A133" s="74"/>
      <c r="B133" s="75"/>
      <c r="C133" s="76" t="str">
        <f t="shared" ref="C133:C196" si="6">IF(B133&gt;0,TEXT(B133,"(aaa)"),"")</f>
        <v/>
      </c>
      <c r="D133" s="74"/>
      <c r="E133" s="75"/>
      <c r="F133" s="76" t="str">
        <f t="shared" ref="F133:F196" si="7">IF(E133&gt;0,TEXT(E133,"(aaa)"),"")</f>
        <v/>
      </c>
      <c r="G133" s="74"/>
      <c r="H133" s="75"/>
      <c r="I133" s="76" t="str">
        <f t="shared" ref="I133:I196" si="8">IF(H133&gt;0,TEXT(H133,"(aaa)"),"")</f>
        <v/>
      </c>
    </row>
    <row r="134" spans="1:9" s="76" customFormat="1" ht="17">
      <c r="A134" s="74"/>
      <c r="B134" s="75"/>
      <c r="C134" s="76" t="str">
        <f t="shared" si="6"/>
        <v/>
      </c>
      <c r="D134" s="74"/>
      <c r="E134" s="75"/>
      <c r="F134" s="76" t="str">
        <f t="shared" si="7"/>
        <v/>
      </c>
      <c r="G134" s="74"/>
      <c r="H134" s="75"/>
      <c r="I134" s="76" t="str">
        <f t="shared" si="8"/>
        <v/>
      </c>
    </row>
    <row r="135" spans="1:9" s="76" customFormat="1" ht="17">
      <c r="A135" s="74"/>
      <c r="B135" s="75"/>
      <c r="C135" s="76" t="str">
        <f t="shared" si="6"/>
        <v/>
      </c>
      <c r="D135" s="74"/>
      <c r="E135" s="75"/>
      <c r="F135" s="76" t="str">
        <f t="shared" si="7"/>
        <v/>
      </c>
      <c r="G135" s="74"/>
      <c r="H135" s="75"/>
      <c r="I135" s="76" t="str">
        <f t="shared" si="8"/>
        <v/>
      </c>
    </row>
    <row r="136" spans="1:9" s="76" customFormat="1" ht="17">
      <c r="A136" s="74"/>
      <c r="B136" s="75"/>
      <c r="C136" s="76" t="str">
        <f t="shared" si="6"/>
        <v/>
      </c>
      <c r="D136" s="74"/>
      <c r="E136" s="75"/>
      <c r="F136" s="76" t="str">
        <f t="shared" si="7"/>
        <v/>
      </c>
      <c r="G136" s="74"/>
      <c r="H136" s="75"/>
      <c r="I136" s="76" t="str">
        <f t="shared" si="8"/>
        <v/>
      </c>
    </row>
    <row r="137" spans="1:9" s="76" customFormat="1" ht="17">
      <c r="A137" s="74"/>
      <c r="B137" s="75"/>
      <c r="C137" s="76" t="str">
        <f t="shared" si="6"/>
        <v/>
      </c>
      <c r="D137" s="74"/>
      <c r="E137" s="75"/>
      <c r="F137" s="76" t="str">
        <f t="shared" si="7"/>
        <v/>
      </c>
      <c r="G137" s="74"/>
      <c r="H137" s="75"/>
      <c r="I137" s="76" t="str">
        <f t="shared" si="8"/>
        <v/>
      </c>
    </row>
    <row r="138" spans="1:9" s="76" customFormat="1" ht="17">
      <c r="A138" s="74"/>
      <c r="B138" s="75"/>
      <c r="C138" s="76" t="str">
        <f t="shared" si="6"/>
        <v/>
      </c>
      <c r="D138" s="74"/>
      <c r="E138" s="75"/>
      <c r="F138" s="76" t="str">
        <f t="shared" si="7"/>
        <v/>
      </c>
      <c r="G138" s="74"/>
      <c r="H138" s="75"/>
      <c r="I138" s="76" t="str">
        <f t="shared" si="8"/>
        <v/>
      </c>
    </row>
    <row r="139" spans="1:9" s="76" customFormat="1" ht="17">
      <c r="A139" s="74"/>
      <c r="B139" s="75"/>
      <c r="C139" s="76" t="str">
        <f t="shared" si="6"/>
        <v/>
      </c>
      <c r="D139" s="74"/>
      <c r="E139" s="75"/>
      <c r="F139" s="76" t="str">
        <f t="shared" si="7"/>
        <v/>
      </c>
      <c r="G139" s="74"/>
      <c r="H139" s="75"/>
      <c r="I139" s="76" t="str">
        <f t="shared" si="8"/>
        <v/>
      </c>
    </row>
    <row r="140" spans="1:9" s="76" customFormat="1" ht="17">
      <c r="A140" s="74"/>
      <c r="B140" s="75"/>
      <c r="C140" s="76" t="str">
        <f t="shared" si="6"/>
        <v/>
      </c>
      <c r="D140" s="74"/>
      <c r="E140" s="75"/>
      <c r="F140" s="76" t="str">
        <f t="shared" si="7"/>
        <v/>
      </c>
      <c r="G140" s="74"/>
      <c r="H140" s="75"/>
      <c r="I140" s="76" t="str">
        <f t="shared" si="8"/>
        <v/>
      </c>
    </row>
    <row r="141" spans="1:9" s="76" customFormat="1" ht="17">
      <c r="A141" s="74"/>
      <c r="B141" s="75"/>
      <c r="C141" s="76" t="str">
        <f t="shared" si="6"/>
        <v/>
      </c>
      <c r="D141" s="74"/>
      <c r="E141" s="75"/>
      <c r="F141" s="76" t="str">
        <f t="shared" si="7"/>
        <v/>
      </c>
      <c r="G141" s="74"/>
      <c r="H141" s="75"/>
      <c r="I141" s="76" t="str">
        <f t="shared" si="8"/>
        <v/>
      </c>
    </row>
    <row r="142" spans="1:9" s="76" customFormat="1" ht="17">
      <c r="A142" s="74"/>
      <c r="B142" s="75"/>
      <c r="C142" s="76" t="str">
        <f t="shared" si="6"/>
        <v/>
      </c>
      <c r="D142" s="74"/>
      <c r="E142" s="75"/>
      <c r="F142" s="76" t="str">
        <f t="shared" si="7"/>
        <v/>
      </c>
      <c r="G142" s="74"/>
      <c r="H142" s="75"/>
      <c r="I142" s="76" t="str">
        <f t="shared" si="8"/>
        <v/>
      </c>
    </row>
    <row r="143" spans="1:9" s="76" customFormat="1" ht="17">
      <c r="A143" s="74"/>
      <c r="B143" s="75"/>
      <c r="C143" s="76" t="str">
        <f t="shared" si="6"/>
        <v/>
      </c>
      <c r="D143" s="74"/>
      <c r="E143" s="75"/>
      <c r="F143" s="76" t="str">
        <f t="shared" si="7"/>
        <v/>
      </c>
      <c r="G143" s="74"/>
      <c r="H143" s="75"/>
      <c r="I143" s="76" t="str">
        <f t="shared" si="8"/>
        <v/>
      </c>
    </row>
    <row r="144" spans="1:9" s="76" customFormat="1" ht="17">
      <c r="A144" s="74"/>
      <c r="B144" s="75"/>
      <c r="C144" s="76" t="str">
        <f t="shared" si="6"/>
        <v/>
      </c>
      <c r="D144" s="74"/>
      <c r="E144" s="75"/>
      <c r="F144" s="76" t="str">
        <f t="shared" si="7"/>
        <v/>
      </c>
      <c r="G144" s="74"/>
      <c r="H144" s="75"/>
      <c r="I144" s="76" t="str">
        <f t="shared" si="8"/>
        <v/>
      </c>
    </row>
    <row r="145" spans="1:9" s="76" customFormat="1" ht="17">
      <c r="A145" s="74"/>
      <c r="B145" s="75"/>
      <c r="C145" s="76" t="str">
        <f t="shared" si="6"/>
        <v/>
      </c>
      <c r="D145" s="74"/>
      <c r="E145" s="75"/>
      <c r="F145" s="76" t="str">
        <f t="shared" si="7"/>
        <v/>
      </c>
      <c r="G145" s="74"/>
      <c r="H145" s="75"/>
      <c r="I145" s="76" t="str">
        <f t="shared" si="8"/>
        <v/>
      </c>
    </row>
    <row r="146" spans="1:9" s="76" customFormat="1" ht="17">
      <c r="A146" s="74"/>
      <c r="B146" s="75"/>
      <c r="C146" s="76" t="str">
        <f t="shared" si="6"/>
        <v/>
      </c>
      <c r="D146" s="74"/>
      <c r="E146" s="75"/>
      <c r="F146" s="76" t="str">
        <f t="shared" si="7"/>
        <v/>
      </c>
      <c r="G146" s="74"/>
      <c r="H146" s="75"/>
      <c r="I146" s="76" t="str">
        <f t="shared" si="8"/>
        <v/>
      </c>
    </row>
    <row r="147" spans="1:9" s="76" customFormat="1" ht="17">
      <c r="A147" s="74"/>
      <c r="B147" s="75"/>
      <c r="C147" s="76" t="str">
        <f t="shared" si="6"/>
        <v/>
      </c>
      <c r="D147" s="74"/>
      <c r="E147" s="75"/>
      <c r="F147" s="76" t="str">
        <f t="shared" si="7"/>
        <v/>
      </c>
      <c r="G147" s="74"/>
      <c r="H147" s="75"/>
      <c r="I147" s="76" t="str">
        <f t="shared" si="8"/>
        <v/>
      </c>
    </row>
    <row r="148" spans="1:9" s="76" customFormat="1" ht="17">
      <c r="A148" s="74"/>
      <c r="B148" s="75"/>
      <c r="C148" s="76" t="str">
        <f t="shared" si="6"/>
        <v/>
      </c>
      <c r="D148" s="74"/>
      <c r="E148" s="75"/>
      <c r="F148" s="76" t="str">
        <f t="shared" si="7"/>
        <v/>
      </c>
      <c r="G148" s="74"/>
      <c r="H148" s="75"/>
      <c r="I148" s="76" t="str">
        <f t="shared" si="8"/>
        <v/>
      </c>
    </row>
    <row r="149" spans="1:9" s="76" customFormat="1" ht="17">
      <c r="A149" s="74"/>
      <c r="B149" s="75"/>
      <c r="C149" s="76" t="str">
        <f t="shared" si="6"/>
        <v/>
      </c>
      <c r="D149" s="74"/>
      <c r="E149" s="75"/>
      <c r="F149" s="76" t="str">
        <f t="shared" si="7"/>
        <v/>
      </c>
      <c r="G149" s="74"/>
      <c r="H149" s="75"/>
      <c r="I149" s="76" t="str">
        <f t="shared" si="8"/>
        <v/>
      </c>
    </row>
    <row r="150" spans="1:9" s="76" customFormat="1" ht="17">
      <c r="A150" s="74"/>
      <c r="B150" s="75"/>
      <c r="C150" s="76" t="str">
        <f t="shared" si="6"/>
        <v/>
      </c>
      <c r="D150" s="74"/>
      <c r="E150" s="75"/>
      <c r="F150" s="76" t="str">
        <f t="shared" si="7"/>
        <v/>
      </c>
      <c r="G150" s="74"/>
      <c r="H150" s="75"/>
      <c r="I150" s="76" t="str">
        <f t="shared" si="8"/>
        <v/>
      </c>
    </row>
    <row r="151" spans="1:9" s="76" customFormat="1" ht="17">
      <c r="A151" s="74"/>
      <c r="B151" s="75"/>
      <c r="C151" s="76" t="str">
        <f t="shared" si="6"/>
        <v/>
      </c>
      <c r="D151" s="74"/>
      <c r="E151" s="75"/>
      <c r="F151" s="76" t="str">
        <f t="shared" si="7"/>
        <v/>
      </c>
      <c r="G151" s="74"/>
      <c r="H151" s="75"/>
      <c r="I151" s="76" t="str">
        <f t="shared" si="8"/>
        <v/>
      </c>
    </row>
    <row r="152" spans="1:9" s="76" customFormat="1" ht="17">
      <c r="A152" s="74"/>
      <c r="B152" s="75"/>
      <c r="C152" s="76" t="str">
        <f t="shared" si="6"/>
        <v/>
      </c>
      <c r="D152" s="74"/>
      <c r="E152" s="75"/>
      <c r="F152" s="76" t="str">
        <f t="shared" si="7"/>
        <v/>
      </c>
      <c r="G152" s="74"/>
      <c r="H152" s="75"/>
      <c r="I152" s="76" t="str">
        <f t="shared" si="8"/>
        <v/>
      </c>
    </row>
    <row r="153" spans="1:9" s="76" customFormat="1" ht="17">
      <c r="A153" s="74"/>
      <c r="B153" s="75"/>
      <c r="C153" s="76" t="str">
        <f t="shared" si="6"/>
        <v/>
      </c>
      <c r="D153" s="74"/>
      <c r="E153" s="75"/>
      <c r="F153" s="76" t="str">
        <f t="shared" si="7"/>
        <v/>
      </c>
      <c r="G153" s="74"/>
      <c r="H153" s="75"/>
      <c r="I153" s="76" t="str">
        <f t="shared" si="8"/>
        <v/>
      </c>
    </row>
    <row r="154" spans="1:9" s="76" customFormat="1" ht="17">
      <c r="A154" s="74"/>
      <c r="B154" s="75"/>
      <c r="C154" s="76" t="str">
        <f t="shared" si="6"/>
        <v/>
      </c>
      <c r="D154" s="74"/>
      <c r="E154" s="75"/>
      <c r="F154" s="76" t="str">
        <f t="shared" si="7"/>
        <v/>
      </c>
      <c r="G154" s="74"/>
      <c r="H154" s="75"/>
      <c r="I154" s="76" t="str">
        <f t="shared" si="8"/>
        <v/>
      </c>
    </row>
    <row r="155" spans="1:9" s="76" customFormat="1" ht="17">
      <c r="A155" s="74"/>
      <c r="B155" s="75"/>
      <c r="C155" s="76" t="str">
        <f t="shared" si="6"/>
        <v/>
      </c>
      <c r="D155" s="74"/>
      <c r="E155" s="75"/>
      <c r="F155" s="76" t="str">
        <f t="shared" si="7"/>
        <v/>
      </c>
      <c r="G155" s="74"/>
      <c r="H155" s="75"/>
      <c r="I155" s="76" t="str">
        <f t="shared" si="8"/>
        <v/>
      </c>
    </row>
    <row r="156" spans="1:9" s="76" customFormat="1" ht="17">
      <c r="A156" s="74"/>
      <c r="B156" s="75"/>
      <c r="C156" s="76" t="str">
        <f t="shared" si="6"/>
        <v/>
      </c>
      <c r="D156" s="74"/>
      <c r="E156" s="75"/>
      <c r="F156" s="76" t="str">
        <f t="shared" si="7"/>
        <v/>
      </c>
      <c r="G156" s="74"/>
      <c r="H156" s="75"/>
      <c r="I156" s="76" t="str">
        <f t="shared" si="8"/>
        <v/>
      </c>
    </row>
    <row r="157" spans="1:9" s="76" customFormat="1" ht="17">
      <c r="A157" s="74"/>
      <c r="B157" s="75"/>
      <c r="C157" s="76" t="str">
        <f t="shared" si="6"/>
        <v/>
      </c>
      <c r="D157" s="74"/>
      <c r="E157" s="75"/>
      <c r="F157" s="76" t="str">
        <f t="shared" si="7"/>
        <v/>
      </c>
      <c r="G157" s="74"/>
      <c r="H157" s="75"/>
      <c r="I157" s="76" t="str">
        <f t="shared" si="8"/>
        <v/>
      </c>
    </row>
    <row r="158" spans="1:9" s="76" customFormat="1" ht="17">
      <c r="A158" s="74"/>
      <c r="B158" s="75"/>
      <c r="C158" s="76" t="str">
        <f t="shared" si="6"/>
        <v/>
      </c>
      <c r="D158" s="74"/>
      <c r="E158" s="75"/>
      <c r="F158" s="76" t="str">
        <f t="shared" si="7"/>
        <v/>
      </c>
      <c r="G158" s="74"/>
      <c r="H158" s="75"/>
      <c r="I158" s="76" t="str">
        <f t="shared" si="8"/>
        <v/>
      </c>
    </row>
    <row r="159" spans="1:9" s="76" customFormat="1" ht="17">
      <c r="A159" s="74"/>
      <c r="B159" s="75"/>
      <c r="C159" s="76" t="str">
        <f t="shared" si="6"/>
        <v/>
      </c>
      <c r="D159" s="74"/>
      <c r="E159" s="75"/>
      <c r="F159" s="76" t="str">
        <f t="shared" si="7"/>
        <v/>
      </c>
      <c r="G159" s="74"/>
      <c r="H159" s="75"/>
      <c r="I159" s="76" t="str">
        <f t="shared" si="8"/>
        <v/>
      </c>
    </row>
    <row r="160" spans="1:9" s="76" customFormat="1" ht="17">
      <c r="A160" s="74"/>
      <c r="B160" s="75"/>
      <c r="C160" s="76" t="str">
        <f t="shared" si="6"/>
        <v/>
      </c>
      <c r="D160" s="74"/>
      <c r="E160" s="75"/>
      <c r="F160" s="76" t="str">
        <f t="shared" si="7"/>
        <v/>
      </c>
      <c r="G160" s="74"/>
      <c r="H160" s="75"/>
      <c r="I160" s="76" t="str">
        <f t="shared" si="8"/>
        <v/>
      </c>
    </row>
    <row r="161" spans="1:9" s="76" customFormat="1" ht="17">
      <c r="A161" s="74"/>
      <c r="B161" s="75"/>
      <c r="C161" s="76" t="str">
        <f t="shared" si="6"/>
        <v/>
      </c>
      <c r="D161" s="74"/>
      <c r="E161" s="75"/>
      <c r="F161" s="76" t="str">
        <f t="shared" si="7"/>
        <v/>
      </c>
      <c r="G161" s="74"/>
      <c r="H161" s="75"/>
      <c r="I161" s="76" t="str">
        <f t="shared" si="8"/>
        <v/>
      </c>
    </row>
    <row r="162" spans="1:9" s="76" customFormat="1" ht="17">
      <c r="A162" s="74"/>
      <c r="B162" s="75"/>
      <c r="C162" s="76" t="str">
        <f t="shared" si="6"/>
        <v/>
      </c>
      <c r="D162" s="74"/>
      <c r="E162" s="75"/>
      <c r="F162" s="76" t="str">
        <f t="shared" si="7"/>
        <v/>
      </c>
      <c r="G162" s="74"/>
      <c r="H162" s="75"/>
      <c r="I162" s="76" t="str">
        <f t="shared" si="8"/>
        <v/>
      </c>
    </row>
    <row r="163" spans="1:9" s="76" customFormat="1" ht="17">
      <c r="A163" s="74"/>
      <c r="B163" s="75"/>
      <c r="C163" s="76" t="str">
        <f t="shared" si="6"/>
        <v/>
      </c>
      <c r="D163" s="74"/>
      <c r="E163" s="75"/>
      <c r="F163" s="76" t="str">
        <f t="shared" si="7"/>
        <v/>
      </c>
      <c r="G163" s="74"/>
      <c r="H163" s="75"/>
      <c r="I163" s="76" t="str">
        <f t="shared" si="8"/>
        <v/>
      </c>
    </row>
    <row r="164" spans="1:9" s="76" customFormat="1" ht="17">
      <c r="A164" s="74"/>
      <c r="B164" s="75"/>
      <c r="C164" s="76" t="str">
        <f t="shared" si="6"/>
        <v/>
      </c>
      <c r="D164" s="74"/>
      <c r="E164" s="75"/>
      <c r="F164" s="76" t="str">
        <f t="shared" si="7"/>
        <v/>
      </c>
      <c r="G164" s="74"/>
      <c r="H164" s="75"/>
      <c r="I164" s="76" t="str">
        <f t="shared" si="8"/>
        <v/>
      </c>
    </row>
    <row r="165" spans="1:9" s="76" customFormat="1" ht="17">
      <c r="A165" s="74"/>
      <c r="B165" s="75"/>
      <c r="C165" s="76" t="str">
        <f t="shared" si="6"/>
        <v/>
      </c>
      <c r="D165" s="74"/>
      <c r="E165" s="75"/>
      <c r="F165" s="76" t="str">
        <f t="shared" si="7"/>
        <v/>
      </c>
      <c r="G165" s="74"/>
      <c r="H165" s="75"/>
      <c r="I165" s="76" t="str">
        <f t="shared" si="8"/>
        <v/>
      </c>
    </row>
    <row r="166" spans="1:9" s="76" customFormat="1" ht="17">
      <c r="A166" s="74"/>
      <c r="B166" s="75"/>
      <c r="C166" s="76" t="str">
        <f t="shared" si="6"/>
        <v/>
      </c>
      <c r="D166" s="74"/>
      <c r="E166" s="75"/>
      <c r="F166" s="76" t="str">
        <f t="shared" si="7"/>
        <v/>
      </c>
      <c r="G166" s="74"/>
      <c r="H166" s="75"/>
      <c r="I166" s="76" t="str">
        <f t="shared" si="8"/>
        <v/>
      </c>
    </row>
    <row r="167" spans="1:9" s="76" customFormat="1" ht="17">
      <c r="A167" s="74"/>
      <c r="B167" s="75"/>
      <c r="C167" s="76" t="str">
        <f t="shared" si="6"/>
        <v/>
      </c>
      <c r="D167" s="74"/>
      <c r="E167" s="75"/>
      <c r="F167" s="76" t="str">
        <f t="shared" si="7"/>
        <v/>
      </c>
      <c r="G167" s="74"/>
      <c r="H167" s="75"/>
      <c r="I167" s="76" t="str">
        <f t="shared" si="8"/>
        <v/>
      </c>
    </row>
    <row r="168" spans="1:9" s="76" customFormat="1" ht="17">
      <c r="A168" s="74"/>
      <c r="B168" s="75"/>
      <c r="C168" s="76" t="str">
        <f t="shared" si="6"/>
        <v/>
      </c>
      <c r="D168" s="74"/>
      <c r="E168" s="75"/>
      <c r="F168" s="76" t="str">
        <f t="shared" si="7"/>
        <v/>
      </c>
      <c r="G168" s="74"/>
      <c r="H168" s="75"/>
      <c r="I168" s="76" t="str">
        <f t="shared" si="8"/>
        <v/>
      </c>
    </row>
    <row r="169" spans="1:9" s="76" customFormat="1" ht="17">
      <c r="A169" s="74"/>
      <c r="B169" s="75"/>
      <c r="C169" s="76" t="str">
        <f t="shared" si="6"/>
        <v/>
      </c>
      <c r="D169" s="74"/>
      <c r="E169" s="75"/>
      <c r="F169" s="76" t="str">
        <f t="shared" si="7"/>
        <v/>
      </c>
      <c r="G169" s="74"/>
      <c r="H169" s="75"/>
      <c r="I169" s="76" t="str">
        <f t="shared" si="8"/>
        <v/>
      </c>
    </row>
    <row r="170" spans="1:9" s="76" customFormat="1" ht="17">
      <c r="A170" s="74"/>
      <c r="B170" s="75"/>
      <c r="C170" s="76" t="str">
        <f t="shared" si="6"/>
        <v/>
      </c>
      <c r="D170" s="74"/>
      <c r="E170" s="75"/>
      <c r="F170" s="76" t="str">
        <f t="shared" si="7"/>
        <v/>
      </c>
      <c r="G170" s="74"/>
      <c r="H170" s="75"/>
      <c r="I170" s="76" t="str">
        <f t="shared" si="8"/>
        <v/>
      </c>
    </row>
    <row r="171" spans="1:9" s="76" customFormat="1" ht="17">
      <c r="A171" s="74"/>
      <c r="B171" s="75"/>
      <c r="C171" s="76" t="str">
        <f t="shared" si="6"/>
        <v/>
      </c>
      <c r="D171" s="74"/>
      <c r="E171" s="75"/>
      <c r="F171" s="76" t="str">
        <f t="shared" si="7"/>
        <v/>
      </c>
      <c r="G171" s="74"/>
      <c r="H171" s="75"/>
      <c r="I171" s="76" t="str">
        <f t="shared" si="8"/>
        <v/>
      </c>
    </row>
    <row r="172" spans="1:9" s="76" customFormat="1" ht="17">
      <c r="A172" s="74"/>
      <c r="B172" s="75"/>
      <c r="C172" s="76" t="str">
        <f t="shared" si="6"/>
        <v/>
      </c>
      <c r="D172" s="74"/>
      <c r="E172" s="75"/>
      <c r="F172" s="76" t="str">
        <f t="shared" si="7"/>
        <v/>
      </c>
      <c r="G172" s="74"/>
      <c r="H172" s="75"/>
      <c r="I172" s="76" t="str">
        <f t="shared" si="8"/>
        <v/>
      </c>
    </row>
    <row r="173" spans="1:9" s="76" customFormat="1" ht="17">
      <c r="A173" s="74"/>
      <c r="B173" s="75"/>
      <c r="C173" s="76" t="str">
        <f t="shared" si="6"/>
        <v/>
      </c>
      <c r="D173" s="74"/>
      <c r="E173" s="75"/>
      <c r="F173" s="76" t="str">
        <f t="shared" si="7"/>
        <v/>
      </c>
      <c r="G173" s="74"/>
      <c r="H173" s="75"/>
      <c r="I173" s="76" t="str">
        <f t="shared" si="8"/>
        <v/>
      </c>
    </row>
    <row r="174" spans="1:9" s="76" customFormat="1" ht="17">
      <c r="A174" s="74"/>
      <c r="B174" s="75"/>
      <c r="C174" s="76" t="str">
        <f t="shared" si="6"/>
        <v/>
      </c>
      <c r="D174" s="74"/>
      <c r="E174" s="75"/>
      <c r="F174" s="76" t="str">
        <f t="shared" si="7"/>
        <v/>
      </c>
      <c r="G174" s="74"/>
      <c r="H174" s="75"/>
      <c r="I174" s="76" t="str">
        <f t="shared" si="8"/>
        <v/>
      </c>
    </row>
    <row r="175" spans="1:9" s="76" customFormat="1" ht="17">
      <c r="A175" s="74"/>
      <c r="B175" s="75"/>
      <c r="C175" s="76" t="str">
        <f t="shared" si="6"/>
        <v/>
      </c>
      <c r="D175" s="74"/>
      <c r="E175" s="75"/>
      <c r="F175" s="76" t="str">
        <f t="shared" si="7"/>
        <v/>
      </c>
      <c r="G175" s="74"/>
      <c r="H175" s="75"/>
      <c r="I175" s="76" t="str">
        <f t="shared" si="8"/>
        <v/>
      </c>
    </row>
    <row r="176" spans="1:9" s="76" customFormat="1" ht="17">
      <c r="A176" s="74"/>
      <c r="B176" s="75"/>
      <c r="C176" s="76" t="str">
        <f t="shared" si="6"/>
        <v/>
      </c>
      <c r="D176" s="74"/>
      <c r="E176" s="75"/>
      <c r="F176" s="76" t="str">
        <f t="shared" si="7"/>
        <v/>
      </c>
      <c r="G176" s="74"/>
      <c r="H176" s="75"/>
      <c r="I176" s="76" t="str">
        <f t="shared" si="8"/>
        <v/>
      </c>
    </row>
    <row r="177" spans="1:9" s="76" customFormat="1" ht="17">
      <c r="A177" s="74"/>
      <c r="B177" s="75"/>
      <c r="C177" s="76" t="str">
        <f t="shared" si="6"/>
        <v/>
      </c>
      <c r="D177" s="74"/>
      <c r="E177" s="75"/>
      <c r="F177" s="76" t="str">
        <f t="shared" si="7"/>
        <v/>
      </c>
      <c r="G177" s="74"/>
      <c r="H177" s="75"/>
      <c r="I177" s="76" t="str">
        <f t="shared" si="8"/>
        <v/>
      </c>
    </row>
    <row r="178" spans="1:9" s="76" customFormat="1" ht="17">
      <c r="A178" s="74"/>
      <c r="B178" s="75"/>
      <c r="C178" s="76" t="str">
        <f t="shared" si="6"/>
        <v/>
      </c>
      <c r="D178" s="74"/>
      <c r="E178" s="75"/>
      <c r="F178" s="76" t="str">
        <f t="shared" si="7"/>
        <v/>
      </c>
      <c r="G178" s="74"/>
      <c r="H178" s="75"/>
      <c r="I178" s="76" t="str">
        <f t="shared" si="8"/>
        <v/>
      </c>
    </row>
    <row r="179" spans="1:9" s="76" customFormat="1" ht="17">
      <c r="A179" s="74"/>
      <c r="B179" s="75"/>
      <c r="C179" s="76" t="str">
        <f t="shared" si="6"/>
        <v/>
      </c>
      <c r="D179" s="74"/>
      <c r="E179" s="75"/>
      <c r="F179" s="76" t="str">
        <f t="shared" si="7"/>
        <v/>
      </c>
      <c r="G179" s="74"/>
      <c r="H179" s="75"/>
      <c r="I179" s="76" t="str">
        <f t="shared" si="8"/>
        <v/>
      </c>
    </row>
    <row r="180" spans="1:9" s="76" customFormat="1" ht="17">
      <c r="A180" s="74"/>
      <c r="B180" s="75"/>
      <c r="C180" s="76" t="str">
        <f t="shared" si="6"/>
        <v/>
      </c>
      <c r="D180" s="74"/>
      <c r="E180" s="75"/>
      <c r="F180" s="76" t="str">
        <f t="shared" si="7"/>
        <v/>
      </c>
      <c r="G180" s="74"/>
      <c r="H180" s="75"/>
      <c r="I180" s="76" t="str">
        <f t="shared" si="8"/>
        <v/>
      </c>
    </row>
    <row r="181" spans="1:9" s="76" customFormat="1" ht="17">
      <c r="A181" s="74"/>
      <c r="B181" s="75"/>
      <c r="C181" s="76" t="str">
        <f t="shared" si="6"/>
        <v/>
      </c>
      <c r="D181" s="74"/>
      <c r="E181" s="75"/>
      <c r="F181" s="76" t="str">
        <f t="shared" si="7"/>
        <v/>
      </c>
      <c r="G181" s="74"/>
      <c r="H181" s="75"/>
      <c r="I181" s="76" t="str">
        <f t="shared" si="8"/>
        <v/>
      </c>
    </row>
    <row r="182" spans="1:9" s="76" customFormat="1" ht="17">
      <c r="A182" s="74"/>
      <c r="B182" s="75"/>
      <c r="C182" s="76" t="str">
        <f t="shared" si="6"/>
        <v/>
      </c>
      <c r="D182" s="74"/>
      <c r="E182" s="75"/>
      <c r="F182" s="76" t="str">
        <f t="shared" si="7"/>
        <v/>
      </c>
      <c r="G182" s="74"/>
      <c r="H182" s="75"/>
      <c r="I182" s="76" t="str">
        <f t="shared" si="8"/>
        <v/>
      </c>
    </row>
    <row r="183" spans="1:9" s="76" customFormat="1" ht="17">
      <c r="A183" s="74"/>
      <c r="B183" s="75"/>
      <c r="C183" s="76" t="str">
        <f t="shared" si="6"/>
        <v/>
      </c>
      <c r="D183" s="74"/>
      <c r="E183" s="75"/>
      <c r="F183" s="76" t="str">
        <f t="shared" si="7"/>
        <v/>
      </c>
      <c r="G183" s="74"/>
      <c r="H183" s="75"/>
      <c r="I183" s="76" t="str">
        <f t="shared" si="8"/>
        <v/>
      </c>
    </row>
    <row r="184" spans="1:9" s="76" customFormat="1" ht="17">
      <c r="A184" s="74"/>
      <c r="B184" s="75"/>
      <c r="C184" s="76" t="str">
        <f t="shared" si="6"/>
        <v/>
      </c>
      <c r="D184" s="74"/>
      <c r="E184" s="75"/>
      <c r="F184" s="76" t="str">
        <f t="shared" si="7"/>
        <v/>
      </c>
      <c r="G184" s="74"/>
      <c r="H184" s="75"/>
      <c r="I184" s="76" t="str">
        <f t="shared" si="8"/>
        <v/>
      </c>
    </row>
    <row r="185" spans="1:9" s="76" customFormat="1" ht="17">
      <c r="A185" s="74"/>
      <c r="B185" s="75"/>
      <c r="C185" s="76" t="str">
        <f t="shared" si="6"/>
        <v/>
      </c>
      <c r="D185" s="74"/>
      <c r="E185" s="75"/>
      <c r="F185" s="76" t="str">
        <f t="shared" si="7"/>
        <v/>
      </c>
      <c r="G185" s="74"/>
      <c r="H185" s="75"/>
      <c r="I185" s="76" t="str">
        <f t="shared" si="8"/>
        <v/>
      </c>
    </row>
    <row r="186" spans="1:9" s="76" customFormat="1" ht="17">
      <c r="A186" s="74"/>
      <c r="B186" s="75"/>
      <c r="C186" s="76" t="str">
        <f t="shared" si="6"/>
        <v/>
      </c>
      <c r="D186" s="74"/>
      <c r="E186" s="75"/>
      <c r="F186" s="76" t="str">
        <f t="shared" si="7"/>
        <v/>
      </c>
      <c r="G186" s="74"/>
      <c r="H186" s="75"/>
      <c r="I186" s="76" t="str">
        <f t="shared" si="8"/>
        <v/>
      </c>
    </row>
    <row r="187" spans="1:9" s="76" customFormat="1" ht="17">
      <c r="A187" s="74"/>
      <c r="B187" s="75"/>
      <c r="C187" s="76" t="str">
        <f t="shared" si="6"/>
        <v/>
      </c>
      <c r="D187" s="74"/>
      <c r="E187" s="75"/>
      <c r="F187" s="76" t="str">
        <f t="shared" si="7"/>
        <v/>
      </c>
      <c r="G187" s="74"/>
      <c r="H187" s="75"/>
      <c r="I187" s="76" t="str">
        <f t="shared" si="8"/>
        <v/>
      </c>
    </row>
    <row r="188" spans="1:9" s="76" customFormat="1" ht="17">
      <c r="A188" s="74"/>
      <c r="B188" s="75"/>
      <c r="C188" s="76" t="str">
        <f t="shared" si="6"/>
        <v/>
      </c>
      <c r="D188" s="74"/>
      <c r="E188" s="75"/>
      <c r="F188" s="76" t="str">
        <f t="shared" si="7"/>
        <v/>
      </c>
      <c r="G188" s="74"/>
      <c r="H188" s="75"/>
      <c r="I188" s="76" t="str">
        <f t="shared" si="8"/>
        <v/>
      </c>
    </row>
    <row r="189" spans="1:9" s="76" customFormat="1" ht="17">
      <c r="A189" s="74"/>
      <c r="B189" s="75"/>
      <c r="C189" s="76" t="str">
        <f t="shared" si="6"/>
        <v/>
      </c>
      <c r="D189" s="74"/>
      <c r="E189" s="75"/>
      <c r="F189" s="76" t="str">
        <f t="shared" si="7"/>
        <v/>
      </c>
      <c r="G189" s="74"/>
      <c r="H189" s="75"/>
      <c r="I189" s="76" t="str">
        <f t="shared" si="8"/>
        <v/>
      </c>
    </row>
    <row r="190" spans="1:9" s="76" customFormat="1" ht="17">
      <c r="A190" s="74"/>
      <c r="B190" s="75"/>
      <c r="C190" s="76" t="str">
        <f t="shared" si="6"/>
        <v/>
      </c>
      <c r="D190" s="74"/>
      <c r="E190" s="75"/>
      <c r="F190" s="76" t="str">
        <f t="shared" si="7"/>
        <v/>
      </c>
      <c r="G190" s="74"/>
      <c r="H190" s="75"/>
      <c r="I190" s="76" t="str">
        <f t="shared" si="8"/>
        <v/>
      </c>
    </row>
    <row r="191" spans="1:9" s="76" customFormat="1" ht="17">
      <c r="A191" s="74"/>
      <c r="B191" s="75"/>
      <c r="C191" s="76" t="str">
        <f t="shared" si="6"/>
        <v/>
      </c>
      <c r="D191" s="74"/>
      <c r="E191" s="75"/>
      <c r="F191" s="76" t="str">
        <f t="shared" si="7"/>
        <v/>
      </c>
      <c r="G191" s="74"/>
      <c r="H191" s="75"/>
      <c r="I191" s="76" t="str">
        <f t="shared" si="8"/>
        <v/>
      </c>
    </row>
    <row r="192" spans="1:9" s="76" customFormat="1" ht="17">
      <c r="A192" s="74"/>
      <c r="B192" s="75"/>
      <c r="C192" s="76" t="str">
        <f t="shared" si="6"/>
        <v/>
      </c>
      <c r="D192" s="74"/>
      <c r="E192" s="75"/>
      <c r="F192" s="76" t="str">
        <f t="shared" si="7"/>
        <v/>
      </c>
      <c r="G192" s="74"/>
      <c r="H192" s="75"/>
      <c r="I192" s="76" t="str">
        <f t="shared" si="8"/>
        <v/>
      </c>
    </row>
    <row r="193" spans="1:9" s="76" customFormat="1" ht="17">
      <c r="A193" s="74"/>
      <c r="B193" s="75"/>
      <c r="C193" s="76" t="str">
        <f t="shared" si="6"/>
        <v/>
      </c>
      <c r="D193" s="74"/>
      <c r="E193" s="75"/>
      <c r="F193" s="76" t="str">
        <f t="shared" si="7"/>
        <v/>
      </c>
      <c r="G193" s="74"/>
      <c r="H193" s="75"/>
      <c r="I193" s="76" t="str">
        <f t="shared" si="8"/>
        <v/>
      </c>
    </row>
    <row r="194" spans="1:9" s="76" customFormat="1" ht="17">
      <c r="A194" s="74"/>
      <c r="B194" s="75"/>
      <c r="C194" s="76" t="str">
        <f t="shared" si="6"/>
        <v/>
      </c>
      <c r="D194" s="74"/>
      <c r="E194" s="75"/>
      <c r="F194" s="76" t="str">
        <f t="shared" si="7"/>
        <v/>
      </c>
      <c r="G194" s="74"/>
      <c r="H194" s="75"/>
      <c r="I194" s="76" t="str">
        <f t="shared" si="8"/>
        <v/>
      </c>
    </row>
    <row r="195" spans="1:9" s="76" customFormat="1" ht="17">
      <c r="A195" s="74"/>
      <c r="B195" s="75"/>
      <c r="C195" s="76" t="str">
        <f t="shared" si="6"/>
        <v/>
      </c>
      <c r="D195" s="74"/>
      <c r="E195" s="75"/>
      <c r="F195" s="76" t="str">
        <f t="shared" si="7"/>
        <v/>
      </c>
      <c r="G195" s="74"/>
      <c r="H195" s="75"/>
      <c r="I195" s="76" t="str">
        <f t="shared" si="8"/>
        <v/>
      </c>
    </row>
    <row r="196" spans="1:9" s="76" customFormat="1" ht="17">
      <c r="A196" s="74"/>
      <c r="B196" s="75"/>
      <c r="C196" s="76" t="str">
        <f t="shared" si="6"/>
        <v/>
      </c>
      <c r="D196" s="74"/>
      <c r="E196" s="75"/>
      <c r="F196" s="76" t="str">
        <f t="shared" si="7"/>
        <v/>
      </c>
      <c r="G196" s="74"/>
      <c r="H196" s="75"/>
      <c r="I196" s="76" t="str">
        <f t="shared" si="8"/>
        <v/>
      </c>
    </row>
    <row r="197" spans="1:9" s="76" customFormat="1" ht="17">
      <c r="A197" s="74"/>
      <c r="B197" s="75"/>
      <c r="C197" s="76" t="str">
        <f t="shared" ref="C197:C260" si="9">IF(B197&gt;0,TEXT(B197,"(aaa)"),"")</f>
        <v/>
      </c>
      <c r="D197" s="74"/>
      <c r="E197" s="75"/>
      <c r="F197" s="76" t="str">
        <f t="shared" ref="F197:F260" si="10">IF(E197&gt;0,TEXT(E197,"(aaa)"),"")</f>
        <v/>
      </c>
      <c r="G197" s="74"/>
      <c r="H197" s="75"/>
      <c r="I197" s="76" t="str">
        <f t="shared" ref="I197:I260" si="11">IF(H197&gt;0,TEXT(H197,"(aaa)"),"")</f>
        <v/>
      </c>
    </row>
    <row r="198" spans="1:9" s="76" customFormat="1" ht="17">
      <c r="A198" s="74"/>
      <c r="B198" s="75"/>
      <c r="C198" s="76" t="str">
        <f t="shared" si="9"/>
        <v/>
      </c>
      <c r="D198" s="74"/>
      <c r="E198" s="75"/>
      <c r="F198" s="76" t="str">
        <f t="shared" si="10"/>
        <v/>
      </c>
      <c r="G198" s="74"/>
      <c r="H198" s="75"/>
      <c r="I198" s="76" t="str">
        <f t="shared" si="11"/>
        <v/>
      </c>
    </row>
    <row r="199" spans="1:9" s="76" customFormat="1" ht="17">
      <c r="A199" s="74"/>
      <c r="B199" s="75"/>
      <c r="C199" s="76" t="str">
        <f t="shared" si="9"/>
        <v/>
      </c>
      <c r="D199" s="74"/>
      <c r="E199" s="75"/>
      <c r="F199" s="76" t="str">
        <f t="shared" si="10"/>
        <v/>
      </c>
      <c r="G199" s="74"/>
      <c r="H199" s="75"/>
      <c r="I199" s="76" t="str">
        <f t="shared" si="11"/>
        <v/>
      </c>
    </row>
    <row r="200" spans="1:9" s="76" customFormat="1" ht="17">
      <c r="A200" s="74"/>
      <c r="B200" s="75"/>
      <c r="C200" s="76" t="str">
        <f t="shared" si="9"/>
        <v/>
      </c>
      <c r="D200" s="74"/>
      <c r="E200" s="75"/>
      <c r="F200" s="76" t="str">
        <f t="shared" si="10"/>
        <v/>
      </c>
      <c r="G200" s="74"/>
      <c r="H200" s="75"/>
      <c r="I200" s="76" t="str">
        <f t="shared" si="11"/>
        <v/>
      </c>
    </row>
    <row r="201" spans="1:9" s="76" customFormat="1" ht="17">
      <c r="A201" s="74"/>
      <c r="B201" s="75"/>
      <c r="C201" s="76" t="str">
        <f t="shared" si="9"/>
        <v/>
      </c>
      <c r="D201" s="74"/>
      <c r="E201" s="75"/>
      <c r="F201" s="76" t="str">
        <f t="shared" si="10"/>
        <v/>
      </c>
      <c r="G201" s="74"/>
      <c r="H201" s="75"/>
      <c r="I201" s="76" t="str">
        <f t="shared" si="11"/>
        <v/>
      </c>
    </row>
    <row r="202" spans="1:9" s="76" customFormat="1" ht="17">
      <c r="A202" s="74"/>
      <c r="B202" s="75"/>
      <c r="C202" s="76" t="str">
        <f t="shared" si="9"/>
        <v/>
      </c>
      <c r="D202" s="74"/>
      <c r="E202" s="75"/>
      <c r="F202" s="76" t="str">
        <f t="shared" si="10"/>
        <v/>
      </c>
      <c r="G202" s="74"/>
      <c r="H202" s="75"/>
      <c r="I202" s="76" t="str">
        <f t="shared" si="11"/>
        <v/>
      </c>
    </row>
    <row r="203" spans="1:9" s="76" customFormat="1" ht="17">
      <c r="A203" s="74"/>
      <c r="B203" s="75"/>
      <c r="C203" s="76" t="str">
        <f t="shared" si="9"/>
        <v/>
      </c>
      <c r="D203" s="74"/>
      <c r="E203" s="75"/>
      <c r="F203" s="76" t="str">
        <f t="shared" si="10"/>
        <v/>
      </c>
      <c r="G203" s="74"/>
      <c r="H203" s="75"/>
      <c r="I203" s="76" t="str">
        <f t="shared" si="11"/>
        <v/>
      </c>
    </row>
    <row r="204" spans="1:9" s="76" customFormat="1" ht="17">
      <c r="A204" s="74"/>
      <c r="B204" s="75"/>
      <c r="C204" s="76" t="str">
        <f t="shared" si="9"/>
        <v/>
      </c>
      <c r="D204" s="74"/>
      <c r="E204" s="75"/>
      <c r="F204" s="76" t="str">
        <f t="shared" si="10"/>
        <v/>
      </c>
      <c r="G204" s="74"/>
      <c r="H204" s="75"/>
      <c r="I204" s="76" t="str">
        <f t="shared" si="11"/>
        <v/>
      </c>
    </row>
    <row r="205" spans="1:9" s="76" customFormat="1" ht="17">
      <c r="A205" s="74"/>
      <c r="B205" s="75"/>
      <c r="C205" s="76" t="str">
        <f t="shared" si="9"/>
        <v/>
      </c>
      <c r="D205" s="74"/>
      <c r="E205" s="75"/>
      <c r="F205" s="76" t="str">
        <f t="shared" si="10"/>
        <v/>
      </c>
      <c r="G205" s="74"/>
      <c r="H205" s="75"/>
      <c r="I205" s="76" t="str">
        <f t="shared" si="11"/>
        <v/>
      </c>
    </row>
    <row r="206" spans="1:9" s="76" customFormat="1" ht="17">
      <c r="A206" s="74"/>
      <c r="B206" s="75"/>
      <c r="C206" s="76" t="str">
        <f t="shared" si="9"/>
        <v/>
      </c>
      <c r="D206" s="74"/>
      <c r="E206" s="75"/>
      <c r="F206" s="76" t="str">
        <f t="shared" si="10"/>
        <v/>
      </c>
      <c r="G206" s="74"/>
      <c r="H206" s="75"/>
      <c r="I206" s="76" t="str">
        <f t="shared" si="11"/>
        <v/>
      </c>
    </row>
    <row r="207" spans="1:9" s="76" customFormat="1" ht="17">
      <c r="A207" s="74"/>
      <c r="B207" s="75"/>
      <c r="C207" s="76" t="str">
        <f t="shared" si="9"/>
        <v/>
      </c>
      <c r="D207" s="74"/>
      <c r="E207" s="75"/>
      <c r="F207" s="76" t="str">
        <f t="shared" si="10"/>
        <v/>
      </c>
      <c r="G207" s="74"/>
      <c r="H207" s="75"/>
      <c r="I207" s="76" t="str">
        <f t="shared" si="11"/>
        <v/>
      </c>
    </row>
    <row r="208" spans="1:9" s="76" customFormat="1" ht="17">
      <c r="A208" s="74"/>
      <c r="B208" s="75"/>
      <c r="C208" s="76" t="str">
        <f t="shared" si="9"/>
        <v/>
      </c>
      <c r="D208" s="74"/>
      <c r="E208" s="75"/>
      <c r="F208" s="76" t="str">
        <f t="shared" si="10"/>
        <v/>
      </c>
      <c r="G208" s="74"/>
      <c r="H208" s="75"/>
      <c r="I208" s="76" t="str">
        <f t="shared" si="11"/>
        <v/>
      </c>
    </row>
    <row r="209" spans="1:9" s="76" customFormat="1" ht="17">
      <c r="A209" s="74"/>
      <c r="B209" s="75"/>
      <c r="C209" s="76" t="str">
        <f t="shared" si="9"/>
        <v/>
      </c>
      <c r="D209" s="74"/>
      <c r="E209" s="75"/>
      <c r="F209" s="76" t="str">
        <f t="shared" si="10"/>
        <v/>
      </c>
      <c r="G209" s="74"/>
      <c r="H209" s="75"/>
      <c r="I209" s="76" t="str">
        <f t="shared" si="11"/>
        <v/>
      </c>
    </row>
    <row r="210" spans="1:9" s="76" customFormat="1" ht="17">
      <c r="A210" s="74"/>
      <c r="B210" s="75"/>
      <c r="C210" s="76" t="str">
        <f t="shared" si="9"/>
        <v/>
      </c>
      <c r="D210" s="74"/>
      <c r="E210" s="75"/>
      <c r="F210" s="76" t="str">
        <f t="shared" si="10"/>
        <v/>
      </c>
      <c r="G210" s="74"/>
      <c r="H210" s="75"/>
      <c r="I210" s="76" t="str">
        <f t="shared" si="11"/>
        <v/>
      </c>
    </row>
    <row r="211" spans="1:9" s="76" customFormat="1" ht="17">
      <c r="A211" s="74"/>
      <c r="B211" s="75"/>
      <c r="C211" s="76" t="str">
        <f t="shared" si="9"/>
        <v/>
      </c>
      <c r="D211" s="74"/>
      <c r="E211" s="75"/>
      <c r="F211" s="76" t="str">
        <f t="shared" si="10"/>
        <v/>
      </c>
      <c r="G211" s="74"/>
      <c r="H211" s="75"/>
      <c r="I211" s="76" t="str">
        <f t="shared" si="11"/>
        <v/>
      </c>
    </row>
    <row r="212" spans="1:9" s="76" customFormat="1" ht="17">
      <c r="A212" s="74"/>
      <c r="B212" s="75"/>
      <c r="C212" s="76" t="str">
        <f t="shared" si="9"/>
        <v/>
      </c>
      <c r="D212" s="74"/>
      <c r="E212" s="75"/>
      <c r="F212" s="76" t="str">
        <f t="shared" si="10"/>
        <v/>
      </c>
      <c r="G212" s="74"/>
      <c r="H212" s="75"/>
      <c r="I212" s="76" t="str">
        <f t="shared" si="11"/>
        <v/>
      </c>
    </row>
    <row r="213" spans="1:9" s="76" customFormat="1" ht="17">
      <c r="A213" s="74"/>
      <c r="B213" s="75"/>
      <c r="C213" s="76" t="str">
        <f t="shared" si="9"/>
        <v/>
      </c>
      <c r="D213" s="74"/>
      <c r="E213" s="75"/>
      <c r="F213" s="76" t="str">
        <f t="shared" si="10"/>
        <v/>
      </c>
      <c r="G213" s="74"/>
      <c r="H213" s="75"/>
      <c r="I213" s="76" t="str">
        <f t="shared" si="11"/>
        <v/>
      </c>
    </row>
    <row r="214" spans="1:9" s="76" customFormat="1" ht="17">
      <c r="A214" s="74"/>
      <c r="B214" s="75"/>
      <c r="C214" s="76" t="str">
        <f t="shared" si="9"/>
        <v/>
      </c>
      <c r="D214" s="74"/>
      <c r="E214" s="75"/>
      <c r="F214" s="76" t="str">
        <f t="shared" si="10"/>
        <v/>
      </c>
      <c r="G214" s="74"/>
      <c r="H214" s="75"/>
      <c r="I214" s="76" t="str">
        <f t="shared" si="11"/>
        <v/>
      </c>
    </row>
    <row r="215" spans="1:9" s="76" customFormat="1" ht="17">
      <c r="A215" s="74"/>
      <c r="B215" s="75"/>
      <c r="C215" s="76" t="str">
        <f t="shared" si="9"/>
        <v/>
      </c>
      <c r="D215" s="74"/>
      <c r="E215" s="75"/>
      <c r="F215" s="76" t="str">
        <f t="shared" si="10"/>
        <v/>
      </c>
      <c r="G215" s="74"/>
      <c r="H215" s="75"/>
      <c r="I215" s="76" t="str">
        <f t="shared" si="11"/>
        <v/>
      </c>
    </row>
    <row r="216" spans="1:9" s="76" customFormat="1" ht="17">
      <c r="A216" s="74"/>
      <c r="B216" s="75"/>
      <c r="C216" s="76" t="str">
        <f t="shared" si="9"/>
        <v/>
      </c>
      <c r="D216" s="74"/>
      <c r="E216" s="75"/>
      <c r="F216" s="76" t="str">
        <f t="shared" si="10"/>
        <v/>
      </c>
      <c r="G216" s="74"/>
      <c r="H216" s="75"/>
      <c r="I216" s="76" t="str">
        <f t="shared" si="11"/>
        <v/>
      </c>
    </row>
    <row r="217" spans="1:9" s="76" customFormat="1" ht="17">
      <c r="A217" s="74"/>
      <c r="B217" s="75"/>
      <c r="C217" s="76" t="str">
        <f t="shared" si="9"/>
        <v/>
      </c>
      <c r="D217" s="74"/>
      <c r="E217" s="75"/>
      <c r="F217" s="76" t="str">
        <f t="shared" si="10"/>
        <v/>
      </c>
      <c r="G217" s="74"/>
      <c r="H217" s="75"/>
      <c r="I217" s="76" t="str">
        <f t="shared" si="11"/>
        <v/>
      </c>
    </row>
    <row r="218" spans="1:9" s="76" customFormat="1" ht="17">
      <c r="A218" s="74"/>
      <c r="B218" s="75"/>
      <c r="C218" s="76" t="str">
        <f t="shared" si="9"/>
        <v/>
      </c>
      <c r="D218" s="74"/>
      <c r="E218" s="75"/>
      <c r="F218" s="76" t="str">
        <f t="shared" si="10"/>
        <v/>
      </c>
      <c r="G218" s="74"/>
      <c r="H218" s="75"/>
      <c r="I218" s="76" t="str">
        <f t="shared" si="11"/>
        <v/>
      </c>
    </row>
    <row r="219" spans="1:9" s="76" customFormat="1" ht="17">
      <c r="A219" s="74"/>
      <c r="B219" s="75"/>
      <c r="C219" s="76" t="str">
        <f t="shared" si="9"/>
        <v/>
      </c>
      <c r="D219" s="74"/>
      <c r="E219" s="75"/>
      <c r="F219" s="76" t="str">
        <f t="shared" si="10"/>
        <v/>
      </c>
      <c r="G219" s="74"/>
      <c r="H219" s="75"/>
      <c r="I219" s="76" t="str">
        <f t="shared" si="11"/>
        <v/>
      </c>
    </row>
    <row r="220" spans="1:9" s="76" customFormat="1" ht="17">
      <c r="A220" s="74"/>
      <c r="B220" s="75"/>
      <c r="C220" s="76" t="str">
        <f t="shared" si="9"/>
        <v/>
      </c>
      <c r="D220" s="74"/>
      <c r="E220" s="75"/>
      <c r="F220" s="76" t="str">
        <f t="shared" si="10"/>
        <v/>
      </c>
      <c r="G220" s="74"/>
      <c r="H220" s="75"/>
      <c r="I220" s="76" t="str">
        <f t="shared" si="11"/>
        <v/>
      </c>
    </row>
    <row r="221" spans="1:9" s="76" customFormat="1" ht="17">
      <c r="A221" s="74"/>
      <c r="B221" s="75"/>
      <c r="C221" s="76" t="str">
        <f t="shared" si="9"/>
        <v/>
      </c>
      <c r="D221" s="74"/>
      <c r="E221" s="75"/>
      <c r="F221" s="76" t="str">
        <f t="shared" si="10"/>
        <v/>
      </c>
      <c r="G221" s="74"/>
      <c r="H221" s="75"/>
      <c r="I221" s="76" t="str">
        <f t="shared" si="11"/>
        <v/>
      </c>
    </row>
    <row r="222" spans="1:9" s="76" customFormat="1" ht="17">
      <c r="A222" s="74"/>
      <c r="B222" s="75"/>
      <c r="C222" s="76" t="str">
        <f t="shared" si="9"/>
        <v/>
      </c>
      <c r="D222" s="74"/>
      <c r="E222" s="75"/>
      <c r="F222" s="76" t="str">
        <f t="shared" si="10"/>
        <v/>
      </c>
      <c r="G222" s="74"/>
      <c r="H222" s="75"/>
      <c r="I222" s="76" t="str">
        <f t="shared" si="11"/>
        <v/>
      </c>
    </row>
    <row r="223" spans="1:9" s="76" customFormat="1" ht="17">
      <c r="A223" s="74"/>
      <c r="B223" s="75"/>
      <c r="C223" s="76" t="str">
        <f t="shared" si="9"/>
        <v/>
      </c>
      <c r="D223" s="74"/>
      <c r="E223" s="75"/>
      <c r="F223" s="76" t="str">
        <f t="shared" si="10"/>
        <v/>
      </c>
      <c r="G223" s="74"/>
      <c r="H223" s="75"/>
      <c r="I223" s="76" t="str">
        <f t="shared" si="11"/>
        <v/>
      </c>
    </row>
    <row r="224" spans="1:9" s="76" customFormat="1" ht="17">
      <c r="A224" s="74"/>
      <c r="B224" s="75"/>
      <c r="C224" s="76" t="str">
        <f t="shared" si="9"/>
        <v/>
      </c>
      <c r="D224" s="74"/>
      <c r="E224" s="75"/>
      <c r="F224" s="76" t="str">
        <f t="shared" si="10"/>
        <v/>
      </c>
      <c r="G224" s="74"/>
      <c r="H224" s="75"/>
      <c r="I224" s="76" t="str">
        <f t="shared" si="11"/>
        <v/>
      </c>
    </row>
    <row r="225" spans="1:9" s="76" customFormat="1" ht="17">
      <c r="A225" s="74"/>
      <c r="B225" s="75"/>
      <c r="C225" s="76" t="str">
        <f t="shared" si="9"/>
        <v/>
      </c>
      <c r="D225" s="74"/>
      <c r="E225" s="75"/>
      <c r="F225" s="76" t="str">
        <f t="shared" si="10"/>
        <v/>
      </c>
      <c r="G225" s="74"/>
      <c r="H225" s="75"/>
      <c r="I225" s="76" t="str">
        <f t="shared" si="11"/>
        <v/>
      </c>
    </row>
    <row r="226" spans="1:9" s="76" customFormat="1" ht="17">
      <c r="A226" s="74"/>
      <c r="B226" s="75"/>
      <c r="C226" s="76" t="str">
        <f t="shared" si="9"/>
        <v/>
      </c>
      <c r="D226" s="74"/>
      <c r="E226" s="75"/>
      <c r="F226" s="76" t="str">
        <f t="shared" si="10"/>
        <v/>
      </c>
      <c r="G226" s="74"/>
      <c r="H226" s="75"/>
      <c r="I226" s="76" t="str">
        <f t="shared" si="11"/>
        <v/>
      </c>
    </row>
    <row r="227" spans="1:9" s="76" customFormat="1" ht="17">
      <c r="A227" s="74"/>
      <c r="B227" s="75"/>
      <c r="C227" s="76" t="str">
        <f t="shared" si="9"/>
        <v/>
      </c>
      <c r="D227" s="74"/>
      <c r="E227" s="75"/>
      <c r="F227" s="76" t="str">
        <f t="shared" si="10"/>
        <v/>
      </c>
      <c r="G227" s="74"/>
      <c r="H227" s="75"/>
      <c r="I227" s="76" t="str">
        <f t="shared" si="11"/>
        <v/>
      </c>
    </row>
    <row r="228" spans="1:9" s="76" customFormat="1" ht="17">
      <c r="A228" s="74"/>
      <c r="B228" s="75"/>
      <c r="C228" s="76" t="str">
        <f t="shared" si="9"/>
        <v/>
      </c>
      <c r="D228" s="74"/>
      <c r="E228" s="75"/>
      <c r="F228" s="76" t="str">
        <f t="shared" si="10"/>
        <v/>
      </c>
      <c r="G228" s="74"/>
      <c r="H228" s="75"/>
      <c r="I228" s="76" t="str">
        <f t="shared" si="11"/>
        <v/>
      </c>
    </row>
    <row r="229" spans="1:9" s="76" customFormat="1" ht="17">
      <c r="A229" s="74"/>
      <c r="B229" s="75"/>
      <c r="C229" s="76" t="str">
        <f t="shared" si="9"/>
        <v/>
      </c>
      <c r="D229" s="74"/>
      <c r="E229" s="75"/>
      <c r="F229" s="76" t="str">
        <f t="shared" si="10"/>
        <v/>
      </c>
      <c r="G229" s="74"/>
      <c r="H229" s="75"/>
      <c r="I229" s="76" t="str">
        <f t="shared" si="11"/>
        <v/>
      </c>
    </row>
    <row r="230" spans="1:9" s="76" customFormat="1" ht="17">
      <c r="A230" s="74"/>
      <c r="B230" s="75"/>
      <c r="C230" s="76" t="str">
        <f t="shared" si="9"/>
        <v/>
      </c>
      <c r="D230" s="74"/>
      <c r="E230" s="75"/>
      <c r="F230" s="76" t="str">
        <f t="shared" si="10"/>
        <v/>
      </c>
      <c r="G230" s="74"/>
      <c r="H230" s="75"/>
      <c r="I230" s="76" t="str">
        <f t="shared" si="11"/>
        <v/>
      </c>
    </row>
    <row r="231" spans="1:9" s="76" customFormat="1" ht="17">
      <c r="A231" s="74"/>
      <c r="B231" s="75"/>
      <c r="C231" s="76" t="str">
        <f t="shared" si="9"/>
        <v/>
      </c>
      <c r="D231" s="74"/>
      <c r="E231" s="75"/>
      <c r="F231" s="76" t="str">
        <f t="shared" si="10"/>
        <v/>
      </c>
      <c r="G231" s="74"/>
      <c r="H231" s="75"/>
      <c r="I231" s="76" t="str">
        <f t="shared" si="11"/>
        <v/>
      </c>
    </row>
    <row r="232" spans="1:9" s="76" customFormat="1" ht="17">
      <c r="A232" s="74"/>
      <c r="B232" s="75"/>
      <c r="C232" s="76" t="str">
        <f t="shared" si="9"/>
        <v/>
      </c>
      <c r="D232" s="74"/>
      <c r="E232" s="75"/>
      <c r="F232" s="76" t="str">
        <f t="shared" si="10"/>
        <v/>
      </c>
      <c r="G232" s="74"/>
      <c r="H232" s="75"/>
      <c r="I232" s="76" t="str">
        <f t="shared" si="11"/>
        <v/>
      </c>
    </row>
    <row r="233" spans="1:9" s="76" customFormat="1" ht="17">
      <c r="A233" s="74"/>
      <c r="B233" s="75"/>
      <c r="C233" s="76" t="str">
        <f t="shared" si="9"/>
        <v/>
      </c>
      <c r="D233" s="74"/>
      <c r="E233" s="75"/>
      <c r="F233" s="76" t="str">
        <f t="shared" si="10"/>
        <v/>
      </c>
      <c r="G233" s="74"/>
      <c r="H233" s="75"/>
      <c r="I233" s="76" t="str">
        <f t="shared" si="11"/>
        <v/>
      </c>
    </row>
    <row r="234" spans="1:9" s="76" customFormat="1" ht="17">
      <c r="A234" s="74"/>
      <c r="B234" s="75"/>
      <c r="C234" s="76" t="str">
        <f t="shared" si="9"/>
        <v/>
      </c>
      <c r="D234" s="74"/>
      <c r="E234" s="75"/>
      <c r="F234" s="76" t="str">
        <f t="shared" si="10"/>
        <v/>
      </c>
      <c r="G234" s="74"/>
      <c r="H234" s="75"/>
      <c r="I234" s="76" t="str">
        <f t="shared" si="11"/>
        <v/>
      </c>
    </row>
    <row r="235" spans="1:9" s="76" customFormat="1" ht="17">
      <c r="A235" s="74"/>
      <c r="B235" s="75"/>
      <c r="C235" s="76" t="str">
        <f t="shared" si="9"/>
        <v/>
      </c>
      <c r="D235" s="74"/>
      <c r="E235" s="75"/>
      <c r="F235" s="76" t="str">
        <f t="shared" si="10"/>
        <v/>
      </c>
      <c r="G235" s="74"/>
      <c r="H235" s="75"/>
      <c r="I235" s="76" t="str">
        <f t="shared" si="11"/>
        <v/>
      </c>
    </row>
    <row r="236" spans="1:9" s="76" customFormat="1" ht="17">
      <c r="A236" s="74"/>
      <c r="B236" s="75"/>
      <c r="C236" s="76" t="str">
        <f t="shared" si="9"/>
        <v/>
      </c>
      <c r="D236" s="74"/>
      <c r="E236" s="75"/>
      <c r="F236" s="76" t="str">
        <f t="shared" si="10"/>
        <v/>
      </c>
      <c r="G236" s="74"/>
      <c r="H236" s="75"/>
      <c r="I236" s="76" t="str">
        <f t="shared" si="11"/>
        <v/>
      </c>
    </row>
    <row r="237" spans="1:9" s="76" customFormat="1" ht="17">
      <c r="A237" s="74"/>
      <c r="B237" s="75"/>
      <c r="C237" s="76" t="str">
        <f t="shared" si="9"/>
        <v/>
      </c>
      <c r="D237" s="74"/>
      <c r="E237" s="75"/>
      <c r="F237" s="76" t="str">
        <f t="shared" si="10"/>
        <v/>
      </c>
      <c r="G237" s="74"/>
      <c r="H237" s="75"/>
      <c r="I237" s="76" t="str">
        <f t="shared" si="11"/>
        <v/>
      </c>
    </row>
    <row r="238" spans="1:9" s="76" customFormat="1" ht="17">
      <c r="A238" s="74"/>
      <c r="B238" s="75"/>
      <c r="C238" s="76" t="str">
        <f t="shared" si="9"/>
        <v/>
      </c>
      <c r="D238" s="74"/>
      <c r="E238" s="75"/>
      <c r="F238" s="76" t="str">
        <f t="shared" si="10"/>
        <v/>
      </c>
      <c r="G238" s="74"/>
      <c r="H238" s="75"/>
      <c r="I238" s="76" t="str">
        <f t="shared" si="11"/>
        <v/>
      </c>
    </row>
    <row r="239" spans="1:9" s="76" customFormat="1" ht="17">
      <c r="A239" s="74"/>
      <c r="B239" s="75"/>
      <c r="C239" s="76" t="str">
        <f t="shared" si="9"/>
        <v/>
      </c>
      <c r="D239" s="74"/>
      <c r="E239" s="75"/>
      <c r="F239" s="76" t="str">
        <f t="shared" si="10"/>
        <v/>
      </c>
      <c r="G239" s="74"/>
      <c r="H239" s="75"/>
      <c r="I239" s="76" t="str">
        <f t="shared" si="11"/>
        <v/>
      </c>
    </row>
    <row r="240" spans="1:9" s="76" customFormat="1" ht="17">
      <c r="A240" s="74"/>
      <c r="B240" s="75"/>
      <c r="C240" s="76" t="str">
        <f t="shared" si="9"/>
        <v/>
      </c>
      <c r="D240" s="74"/>
      <c r="E240" s="75"/>
      <c r="F240" s="76" t="str">
        <f t="shared" si="10"/>
        <v/>
      </c>
      <c r="G240" s="74"/>
      <c r="H240" s="75"/>
      <c r="I240" s="76" t="str">
        <f t="shared" si="11"/>
        <v/>
      </c>
    </row>
    <row r="241" spans="1:9" s="76" customFormat="1" ht="17">
      <c r="A241" s="74"/>
      <c r="B241" s="75"/>
      <c r="C241" s="76" t="str">
        <f t="shared" si="9"/>
        <v/>
      </c>
      <c r="D241" s="74"/>
      <c r="E241" s="75"/>
      <c r="F241" s="76" t="str">
        <f t="shared" si="10"/>
        <v/>
      </c>
      <c r="G241" s="74"/>
      <c r="H241" s="75"/>
      <c r="I241" s="76" t="str">
        <f t="shared" si="11"/>
        <v/>
      </c>
    </row>
    <row r="242" spans="1:9" s="76" customFormat="1" ht="17">
      <c r="A242" s="74"/>
      <c r="B242" s="75"/>
      <c r="C242" s="76" t="str">
        <f t="shared" si="9"/>
        <v/>
      </c>
      <c r="D242" s="74"/>
      <c r="E242" s="75"/>
      <c r="F242" s="76" t="str">
        <f t="shared" si="10"/>
        <v/>
      </c>
      <c r="G242" s="74"/>
      <c r="H242" s="75"/>
      <c r="I242" s="76" t="str">
        <f t="shared" si="11"/>
        <v/>
      </c>
    </row>
    <row r="243" spans="1:9" s="76" customFormat="1" ht="17">
      <c r="A243" s="74"/>
      <c r="B243" s="75"/>
      <c r="C243" s="76" t="str">
        <f t="shared" si="9"/>
        <v/>
      </c>
      <c r="D243" s="74"/>
      <c r="E243" s="75"/>
      <c r="F243" s="76" t="str">
        <f t="shared" si="10"/>
        <v/>
      </c>
      <c r="G243" s="74"/>
      <c r="H243" s="75"/>
      <c r="I243" s="76" t="str">
        <f t="shared" si="11"/>
        <v/>
      </c>
    </row>
    <row r="244" spans="1:9" s="76" customFormat="1" ht="17">
      <c r="A244" s="74"/>
      <c r="B244" s="75"/>
      <c r="C244" s="76" t="str">
        <f t="shared" si="9"/>
        <v/>
      </c>
      <c r="D244" s="74"/>
      <c r="E244" s="75"/>
      <c r="F244" s="76" t="str">
        <f t="shared" si="10"/>
        <v/>
      </c>
      <c r="G244" s="74"/>
      <c r="H244" s="75"/>
      <c r="I244" s="76" t="str">
        <f t="shared" si="11"/>
        <v/>
      </c>
    </row>
    <row r="245" spans="1:9" s="76" customFormat="1" ht="17">
      <c r="A245" s="74"/>
      <c r="B245" s="75"/>
      <c r="C245" s="76" t="str">
        <f t="shared" si="9"/>
        <v/>
      </c>
      <c r="D245" s="74"/>
      <c r="E245" s="75"/>
      <c r="F245" s="76" t="str">
        <f t="shared" si="10"/>
        <v/>
      </c>
      <c r="G245" s="74"/>
      <c r="H245" s="75"/>
      <c r="I245" s="76" t="str">
        <f t="shared" si="11"/>
        <v/>
      </c>
    </row>
    <row r="246" spans="1:9" s="76" customFormat="1" ht="17">
      <c r="A246" s="74"/>
      <c r="B246" s="75"/>
      <c r="C246" s="76" t="str">
        <f t="shared" si="9"/>
        <v/>
      </c>
      <c r="D246" s="74"/>
      <c r="E246" s="75"/>
      <c r="F246" s="76" t="str">
        <f t="shared" si="10"/>
        <v/>
      </c>
      <c r="G246" s="74"/>
      <c r="H246" s="75"/>
      <c r="I246" s="76" t="str">
        <f t="shared" si="11"/>
        <v/>
      </c>
    </row>
    <row r="247" spans="1:9" s="76" customFormat="1" ht="17">
      <c r="A247" s="74"/>
      <c r="B247" s="75"/>
      <c r="C247" s="76" t="str">
        <f t="shared" si="9"/>
        <v/>
      </c>
      <c r="D247" s="74"/>
      <c r="E247" s="75"/>
      <c r="F247" s="76" t="str">
        <f t="shared" si="10"/>
        <v/>
      </c>
      <c r="G247" s="74"/>
      <c r="H247" s="75"/>
      <c r="I247" s="76" t="str">
        <f t="shared" si="11"/>
        <v/>
      </c>
    </row>
    <row r="248" spans="1:9" s="76" customFormat="1" ht="17">
      <c r="A248" s="74"/>
      <c r="B248" s="75"/>
      <c r="C248" s="76" t="str">
        <f t="shared" si="9"/>
        <v/>
      </c>
      <c r="D248" s="74"/>
      <c r="E248" s="75"/>
      <c r="F248" s="76" t="str">
        <f t="shared" si="10"/>
        <v/>
      </c>
      <c r="G248" s="74"/>
      <c r="H248" s="75"/>
      <c r="I248" s="76" t="str">
        <f t="shared" si="11"/>
        <v/>
      </c>
    </row>
    <row r="249" spans="1:9" s="76" customFormat="1" ht="17">
      <c r="A249" s="74"/>
      <c r="B249" s="75"/>
      <c r="C249" s="76" t="str">
        <f t="shared" si="9"/>
        <v/>
      </c>
      <c r="D249" s="74"/>
      <c r="E249" s="75"/>
      <c r="F249" s="76" t="str">
        <f t="shared" si="10"/>
        <v/>
      </c>
      <c r="G249" s="74"/>
      <c r="H249" s="75"/>
      <c r="I249" s="76" t="str">
        <f t="shared" si="11"/>
        <v/>
      </c>
    </row>
    <row r="250" spans="1:9" s="76" customFormat="1" ht="17">
      <c r="A250" s="74"/>
      <c r="B250" s="75"/>
      <c r="C250" s="76" t="str">
        <f t="shared" si="9"/>
        <v/>
      </c>
      <c r="D250" s="74"/>
      <c r="E250" s="75"/>
      <c r="F250" s="76" t="str">
        <f t="shared" si="10"/>
        <v/>
      </c>
      <c r="G250" s="74"/>
      <c r="H250" s="75"/>
      <c r="I250" s="76" t="str">
        <f t="shared" si="11"/>
        <v/>
      </c>
    </row>
    <row r="251" spans="1:9" s="76" customFormat="1" ht="17">
      <c r="A251" s="74"/>
      <c r="B251" s="75"/>
      <c r="C251" s="76" t="str">
        <f t="shared" si="9"/>
        <v/>
      </c>
      <c r="D251" s="74"/>
      <c r="E251" s="75"/>
      <c r="F251" s="76" t="str">
        <f t="shared" si="10"/>
        <v/>
      </c>
      <c r="G251" s="74"/>
      <c r="H251" s="75"/>
      <c r="I251" s="76" t="str">
        <f t="shared" si="11"/>
        <v/>
      </c>
    </row>
    <row r="252" spans="1:9" s="76" customFormat="1" ht="17">
      <c r="A252" s="74"/>
      <c r="B252" s="75"/>
      <c r="C252" s="76" t="str">
        <f t="shared" si="9"/>
        <v/>
      </c>
      <c r="D252" s="74"/>
      <c r="E252" s="75"/>
      <c r="F252" s="76" t="str">
        <f t="shared" si="10"/>
        <v/>
      </c>
      <c r="G252" s="74"/>
      <c r="H252" s="75"/>
      <c r="I252" s="76" t="str">
        <f t="shared" si="11"/>
        <v/>
      </c>
    </row>
    <row r="253" spans="1:9" s="76" customFormat="1" ht="17">
      <c r="A253" s="74"/>
      <c r="B253" s="75"/>
      <c r="C253" s="76" t="str">
        <f t="shared" si="9"/>
        <v/>
      </c>
      <c r="D253" s="74"/>
      <c r="E253" s="75"/>
      <c r="F253" s="76" t="str">
        <f t="shared" si="10"/>
        <v/>
      </c>
      <c r="G253" s="74"/>
      <c r="H253" s="75"/>
      <c r="I253" s="76" t="str">
        <f t="shared" si="11"/>
        <v/>
      </c>
    </row>
    <row r="254" spans="1:9" s="76" customFormat="1" ht="17">
      <c r="A254" s="74"/>
      <c r="B254" s="75"/>
      <c r="C254" s="76" t="str">
        <f t="shared" si="9"/>
        <v/>
      </c>
      <c r="D254" s="74"/>
      <c r="E254" s="75"/>
      <c r="F254" s="76" t="str">
        <f t="shared" si="10"/>
        <v/>
      </c>
      <c r="G254" s="74"/>
      <c r="H254" s="75"/>
      <c r="I254" s="76" t="str">
        <f t="shared" si="11"/>
        <v/>
      </c>
    </row>
    <row r="255" spans="1:9" s="76" customFormat="1" ht="17">
      <c r="A255" s="74"/>
      <c r="B255" s="75"/>
      <c r="C255" s="76" t="str">
        <f t="shared" si="9"/>
        <v/>
      </c>
      <c r="D255" s="74"/>
      <c r="E255" s="75"/>
      <c r="F255" s="76" t="str">
        <f t="shared" si="10"/>
        <v/>
      </c>
      <c r="G255" s="74"/>
      <c r="H255" s="75"/>
      <c r="I255" s="76" t="str">
        <f t="shared" si="11"/>
        <v/>
      </c>
    </row>
    <row r="256" spans="1:9" s="76" customFormat="1" ht="17">
      <c r="A256" s="74"/>
      <c r="B256" s="75"/>
      <c r="C256" s="76" t="str">
        <f t="shared" si="9"/>
        <v/>
      </c>
      <c r="D256" s="74"/>
      <c r="E256" s="75"/>
      <c r="F256" s="76" t="str">
        <f t="shared" si="10"/>
        <v/>
      </c>
      <c r="G256" s="74"/>
      <c r="H256" s="75"/>
      <c r="I256" s="76" t="str">
        <f t="shared" si="11"/>
        <v/>
      </c>
    </row>
    <row r="257" spans="1:9" s="76" customFormat="1" ht="17">
      <c r="A257" s="74"/>
      <c r="B257" s="75"/>
      <c r="C257" s="76" t="str">
        <f t="shared" si="9"/>
        <v/>
      </c>
      <c r="D257" s="74"/>
      <c r="E257" s="75"/>
      <c r="F257" s="76" t="str">
        <f t="shared" si="10"/>
        <v/>
      </c>
      <c r="G257" s="74"/>
      <c r="H257" s="75"/>
      <c r="I257" s="76" t="str">
        <f t="shared" si="11"/>
        <v/>
      </c>
    </row>
    <row r="258" spans="1:9" s="76" customFormat="1" ht="17">
      <c r="A258" s="74"/>
      <c r="B258" s="75"/>
      <c r="C258" s="76" t="str">
        <f t="shared" si="9"/>
        <v/>
      </c>
      <c r="D258" s="74"/>
      <c r="E258" s="75"/>
      <c r="F258" s="76" t="str">
        <f t="shared" si="10"/>
        <v/>
      </c>
      <c r="G258" s="74"/>
      <c r="H258" s="75"/>
      <c r="I258" s="76" t="str">
        <f t="shared" si="11"/>
        <v/>
      </c>
    </row>
    <row r="259" spans="1:9" s="76" customFormat="1" ht="17">
      <c r="A259" s="74"/>
      <c r="B259" s="75"/>
      <c r="C259" s="76" t="str">
        <f t="shared" si="9"/>
        <v/>
      </c>
      <c r="D259" s="74"/>
      <c r="E259" s="75"/>
      <c r="F259" s="76" t="str">
        <f t="shared" si="10"/>
        <v/>
      </c>
      <c r="G259" s="74"/>
      <c r="H259" s="75"/>
      <c r="I259" s="76" t="str">
        <f t="shared" si="11"/>
        <v/>
      </c>
    </row>
    <row r="260" spans="1:9" s="76" customFormat="1" ht="17">
      <c r="A260" s="74"/>
      <c r="B260" s="75"/>
      <c r="C260" s="76" t="str">
        <f t="shared" si="9"/>
        <v/>
      </c>
      <c r="D260" s="74"/>
      <c r="E260" s="75"/>
      <c r="F260" s="76" t="str">
        <f t="shared" si="10"/>
        <v/>
      </c>
      <c r="G260" s="74"/>
      <c r="H260" s="75"/>
      <c r="I260" s="76" t="str">
        <f t="shared" si="11"/>
        <v/>
      </c>
    </row>
    <row r="261" spans="1:9" s="76" customFormat="1" ht="17">
      <c r="A261" s="74"/>
      <c r="B261" s="75"/>
      <c r="C261" s="76" t="str">
        <f t="shared" ref="C261:C304" si="12">IF(B261&gt;0,TEXT(B261,"(aaa)"),"")</f>
        <v/>
      </c>
      <c r="D261" s="74"/>
      <c r="E261" s="75"/>
      <c r="F261" s="76" t="str">
        <f t="shared" ref="F261:F304" si="13">IF(E261&gt;0,TEXT(E261,"(aaa)"),"")</f>
        <v/>
      </c>
      <c r="G261" s="74"/>
      <c r="H261" s="75"/>
      <c r="I261" s="76" t="str">
        <f t="shared" ref="I261:I304" si="14">IF(H261&gt;0,TEXT(H261,"(aaa)"),"")</f>
        <v/>
      </c>
    </row>
    <row r="262" spans="1:9" s="76" customFormat="1" ht="17">
      <c r="A262" s="74"/>
      <c r="B262" s="75"/>
      <c r="C262" s="76" t="str">
        <f t="shared" si="12"/>
        <v/>
      </c>
      <c r="D262" s="74"/>
      <c r="E262" s="75"/>
      <c r="F262" s="76" t="str">
        <f t="shared" si="13"/>
        <v/>
      </c>
      <c r="G262" s="74"/>
      <c r="H262" s="75"/>
      <c r="I262" s="76" t="str">
        <f t="shared" si="14"/>
        <v/>
      </c>
    </row>
    <row r="263" spans="1:9" s="76" customFormat="1" ht="17">
      <c r="A263" s="74"/>
      <c r="B263" s="75"/>
      <c r="C263" s="76" t="str">
        <f t="shared" si="12"/>
        <v/>
      </c>
      <c r="D263" s="74"/>
      <c r="E263" s="75"/>
      <c r="F263" s="76" t="str">
        <f t="shared" si="13"/>
        <v/>
      </c>
      <c r="G263" s="74"/>
      <c r="H263" s="75"/>
      <c r="I263" s="76" t="str">
        <f t="shared" si="14"/>
        <v/>
      </c>
    </row>
    <row r="264" spans="1:9" s="76" customFormat="1" ht="17">
      <c r="A264" s="74"/>
      <c r="B264" s="75"/>
      <c r="C264" s="76" t="str">
        <f t="shared" si="12"/>
        <v/>
      </c>
      <c r="D264" s="74"/>
      <c r="E264" s="75"/>
      <c r="F264" s="76" t="str">
        <f t="shared" si="13"/>
        <v/>
      </c>
      <c r="G264" s="74"/>
      <c r="H264" s="75"/>
      <c r="I264" s="76" t="str">
        <f t="shared" si="14"/>
        <v/>
      </c>
    </row>
    <row r="265" spans="1:9" s="76" customFormat="1" ht="17">
      <c r="A265" s="74"/>
      <c r="B265" s="75"/>
      <c r="C265" s="76" t="str">
        <f t="shared" si="12"/>
        <v/>
      </c>
      <c r="D265" s="74"/>
      <c r="E265" s="75"/>
      <c r="F265" s="76" t="str">
        <f t="shared" si="13"/>
        <v/>
      </c>
      <c r="G265" s="74"/>
      <c r="H265" s="75"/>
      <c r="I265" s="76" t="str">
        <f t="shared" si="14"/>
        <v/>
      </c>
    </row>
    <row r="266" spans="1:9" s="76" customFormat="1" ht="17">
      <c r="A266" s="74"/>
      <c r="B266" s="75"/>
      <c r="C266" s="76" t="str">
        <f t="shared" si="12"/>
        <v/>
      </c>
      <c r="D266" s="74"/>
      <c r="E266" s="75"/>
      <c r="F266" s="76" t="str">
        <f t="shared" si="13"/>
        <v/>
      </c>
      <c r="G266" s="74"/>
      <c r="H266" s="75"/>
      <c r="I266" s="76" t="str">
        <f t="shared" si="14"/>
        <v/>
      </c>
    </row>
    <row r="267" spans="1:9" s="76" customFormat="1" ht="17">
      <c r="A267" s="74"/>
      <c r="B267" s="75"/>
      <c r="C267" s="76" t="str">
        <f t="shared" si="12"/>
        <v/>
      </c>
      <c r="D267" s="74"/>
      <c r="E267" s="75"/>
      <c r="F267" s="76" t="str">
        <f t="shared" si="13"/>
        <v/>
      </c>
      <c r="G267" s="74"/>
      <c r="H267" s="75"/>
      <c r="I267" s="76" t="str">
        <f t="shared" si="14"/>
        <v/>
      </c>
    </row>
    <row r="268" spans="1:9" s="76" customFormat="1" ht="17">
      <c r="A268" s="74"/>
      <c r="B268" s="75"/>
      <c r="C268" s="76" t="str">
        <f t="shared" si="12"/>
        <v/>
      </c>
      <c r="D268" s="74"/>
      <c r="E268" s="75"/>
      <c r="F268" s="76" t="str">
        <f t="shared" si="13"/>
        <v/>
      </c>
      <c r="G268" s="74"/>
      <c r="H268" s="75"/>
      <c r="I268" s="76" t="str">
        <f t="shared" si="14"/>
        <v/>
      </c>
    </row>
    <row r="269" spans="1:9" s="76" customFormat="1" ht="17">
      <c r="A269" s="74"/>
      <c r="B269" s="75"/>
      <c r="C269" s="76" t="str">
        <f t="shared" si="12"/>
        <v/>
      </c>
      <c r="D269" s="74"/>
      <c r="E269" s="75"/>
      <c r="F269" s="76" t="str">
        <f t="shared" si="13"/>
        <v/>
      </c>
      <c r="G269" s="74"/>
      <c r="H269" s="75"/>
      <c r="I269" s="76" t="str">
        <f t="shared" si="14"/>
        <v/>
      </c>
    </row>
    <row r="270" spans="1:9" s="76" customFormat="1" ht="17">
      <c r="A270" s="74"/>
      <c r="B270" s="75"/>
      <c r="C270" s="76" t="str">
        <f t="shared" si="12"/>
        <v/>
      </c>
      <c r="D270" s="74"/>
      <c r="E270" s="75"/>
      <c r="F270" s="76" t="str">
        <f t="shared" si="13"/>
        <v/>
      </c>
      <c r="G270" s="74"/>
      <c r="H270" s="75"/>
      <c r="I270" s="76" t="str">
        <f t="shared" si="14"/>
        <v/>
      </c>
    </row>
    <row r="271" spans="1:9" s="76" customFormat="1" ht="17">
      <c r="A271" s="74"/>
      <c r="B271" s="75"/>
      <c r="C271" s="76" t="str">
        <f t="shared" si="12"/>
        <v/>
      </c>
      <c r="D271" s="74"/>
      <c r="E271" s="75"/>
      <c r="F271" s="76" t="str">
        <f t="shared" si="13"/>
        <v/>
      </c>
      <c r="G271" s="74"/>
      <c r="H271" s="75"/>
      <c r="I271" s="76" t="str">
        <f t="shared" si="14"/>
        <v/>
      </c>
    </row>
    <row r="272" spans="1:9" s="76" customFormat="1" ht="17">
      <c r="A272" s="74"/>
      <c r="B272" s="75"/>
      <c r="C272" s="76" t="str">
        <f t="shared" si="12"/>
        <v/>
      </c>
      <c r="D272" s="74"/>
      <c r="E272" s="75"/>
      <c r="F272" s="76" t="str">
        <f t="shared" si="13"/>
        <v/>
      </c>
      <c r="G272" s="74"/>
      <c r="H272" s="75"/>
      <c r="I272" s="76" t="str">
        <f t="shared" si="14"/>
        <v/>
      </c>
    </row>
    <row r="273" spans="1:9" s="76" customFormat="1" ht="17">
      <c r="A273" s="74"/>
      <c r="B273" s="75"/>
      <c r="C273" s="76" t="str">
        <f t="shared" si="12"/>
        <v/>
      </c>
      <c r="D273" s="74"/>
      <c r="E273" s="75"/>
      <c r="F273" s="76" t="str">
        <f t="shared" si="13"/>
        <v/>
      </c>
      <c r="G273" s="74"/>
      <c r="H273" s="75"/>
      <c r="I273" s="76" t="str">
        <f t="shared" si="14"/>
        <v/>
      </c>
    </row>
    <row r="274" spans="1:9" s="76" customFormat="1" ht="17">
      <c r="A274" s="74"/>
      <c r="B274" s="75"/>
      <c r="C274" s="76" t="str">
        <f t="shared" si="12"/>
        <v/>
      </c>
      <c r="D274" s="74"/>
      <c r="E274" s="75"/>
      <c r="F274" s="76" t="str">
        <f t="shared" si="13"/>
        <v/>
      </c>
      <c r="G274" s="74"/>
      <c r="H274" s="75"/>
      <c r="I274" s="76" t="str">
        <f t="shared" si="14"/>
        <v/>
      </c>
    </row>
    <row r="275" spans="1:9" s="76" customFormat="1" ht="17">
      <c r="A275" s="74"/>
      <c r="B275" s="75"/>
      <c r="C275" s="76" t="str">
        <f t="shared" si="12"/>
        <v/>
      </c>
      <c r="D275" s="74"/>
      <c r="E275" s="75"/>
      <c r="F275" s="76" t="str">
        <f t="shared" si="13"/>
        <v/>
      </c>
      <c r="G275" s="74"/>
      <c r="H275" s="75"/>
      <c r="I275" s="76" t="str">
        <f t="shared" si="14"/>
        <v/>
      </c>
    </row>
    <row r="276" spans="1:9" s="76" customFormat="1" ht="17">
      <c r="A276" s="74"/>
      <c r="B276" s="75"/>
      <c r="C276" s="76" t="str">
        <f t="shared" si="12"/>
        <v/>
      </c>
      <c r="D276" s="74"/>
      <c r="E276" s="75"/>
      <c r="F276" s="76" t="str">
        <f t="shared" si="13"/>
        <v/>
      </c>
      <c r="G276" s="74"/>
      <c r="H276" s="75"/>
      <c r="I276" s="76" t="str">
        <f t="shared" si="14"/>
        <v/>
      </c>
    </row>
    <row r="277" spans="1:9" s="76" customFormat="1" ht="17">
      <c r="A277" s="74"/>
      <c r="B277" s="75"/>
      <c r="C277" s="76" t="str">
        <f t="shared" si="12"/>
        <v/>
      </c>
      <c r="D277" s="74"/>
      <c r="E277" s="75"/>
      <c r="F277" s="76" t="str">
        <f t="shared" si="13"/>
        <v/>
      </c>
      <c r="G277" s="74"/>
      <c r="H277" s="75"/>
      <c r="I277" s="76" t="str">
        <f t="shared" si="14"/>
        <v/>
      </c>
    </row>
    <row r="278" spans="1:9" s="76" customFormat="1" ht="17">
      <c r="A278" s="74"/>
      <c r="B278" s="75"/>
      <c r="C278" s="76" t="str">
        <f t="shared" si="12"/>
        <v/>
      </c>
      <c r="D278" s="74"/>
      <c r="E278" s="75"/>
      <c r="F278" s="76" t="str">
        <f t="shared" si="13"/>
        <v/>
      </c>
      <c r="G278" s="74"/>
      <c r="H278" s="75"/>
      <c r="I278" s="76" t="str">
        <f t="shared" si="14"/>
        <v/>
      </c>
    </row>
    <row r="279" spans="1:9" s="76" customFormat="1" ht="17">
      <c r="A279" s="74"/>
      <c r="B279" s="75"/>
      <c r="C279" s="76" t="str">
        <f t="shared" si="12"/>
        <v/>
      </c>
      <c r="D279" s="74"/>
      <c r="E279" s="75"/>
      <c r="F279" s="76" t="str">
        <f t="shared" si="13"/>
        <v/>
      </c>
      <c r="G279" s="74"/>
      <c r="H279" s="75"/>
      <c r="I279" s="76" t="str">
        <f t="shared" si="14"/>
        <v/>
      </c>
    </row>
    <row r="280" spans="1:9" s="76" customFormat="1" ht="17">
      <c r="A280" s="74"/>
      <c r="B280" s="75"/>
      <c r="C280" s="76" t="str">
        <f t="shared" si="12"/>
        <v/>
      </c>
      <c r="D280" s="74"/>
      <c r="E280" s="75"/>
      <c r="F280" s="76" t="str">
        <f t="shared" si="13"/>
        <v/>
      </c>
      <c r="G280" s="74"/>
      <c r="H280" s="75"/>
      <c r="I280" s="76" t="str">
        <f t="shared" si="14"/>
        <v/>
      </c>
    </row>
    <row r="281" spans="1:9" s="76" customFormat="1" ht="17">
      <c r="A281" s="74"/>
      <c r="B281" s="75"/>
      <c r="C281" s="76" t="str">
        <f t="shared" si="12"/>
        <v/>
      </c>
      <c r="D281" s="74"/>
      <c r="E281" s="75"/>
      <c r="F281" s="76" t="str">
        <f t="shared" si="13"/>
        <v/>
      </c>
      <c r="G281" s="74"/>
      <c r="H281" s="75"/>
      <c r="I281" s="76" t="str">
        <f t="shared" si="14"/>
        <v/>
      </c>
    </row>
    <row r="282" spans="1:9" s="76" customFormat="1" ht="17">
      <c r="A282" s="74"/>
      <c r="B282" s="75"/>
      <c r="C282" s="76" t="str">
        <f t="shared" si="12"/>
        <v/>
      </c>
      <c r="D282" s="74"/>
      <c r="E282" s="75"/>
      <c r="F282" s="76" t="str">
        <f t="shared" si="13"/>
        <v/>
      </c>
      <c r="G282" s="74"/>
      <c r="H282" s="75"/>
      <c r="I282" s="76" t="str">
        <f t="shared" si="14"/>
        <v/>
      </c>
    </row>
    <row r="283" spans="1:9" s="76" customFormat="1" ht="17">
      <c r="A283" s="74"/>
      <c r="B283" s="75"/>
      <c r="C283" s="76" t="str">
        <f t="shared" si="12"/>
        <v/>
      </c>
      <c r="D283" s="74"/>
      <c r="E283" s="75"/>
      <c r="F283" s="76" t="str">
        <f t="shared" si="13"/>
        <v/>
      </c>
      <c r="G283" s="74"/>
      <c r="H283" s="75"/>
      <c r="I283" s="76" t="str">
        <f t="shared" si="14"/>
        <v/>
      </c>
    </row>
    <row r="284" spans="1:9" s="76" customFormat="1" ht="17">
      <c r="A284" s="74"/>
      <c r="B284" s="75"/>
      <c r="C284" s="76" t="str">
        <f t="shared" si="12"/>
        <v/>
      </c>
      <c r="D284" s="74"/>
      <c r="E284" s="75"/>
      <c r="F284" s="76" t="str">
        <f t="shared" si="13"/>
        <v/>
      </c>
      <c r="G284" s="74"/>
      <c r="H284" s="75"/>
      <c r="I284" s="76" t="str">
        <f t="shared" si="14"/>
        <v/>
      </c>
    </row>
    <row r="285" spans="1:9" s="76" customFormat="1" ht="17">
      <c r="A285" s="74"/>
      <c r="B285" s="75"/>
      <c r="C285" s="76" t="str">
        <f t="shared" si="12"/>
        <v/>
      </c>
      <c r="D285" s="74"/>
      <c r="E285" s="75"/>
      <c r="F285" s="76" t="str">
        <f t="shared" si="13"/>
        <v/>
      </c>
      <c r="G285" s="74"/>
      <c r="H285" s="75"/>
      <c r="I285" s="76" t="str">
        <f t="shared" si="14"/>
        <v/>
      </c>
    </row>
    <row r="286" spans="1:9" s="76" customFormat="1" ht="17">
      <c r="A286" s="74"/>
      <c r="B286" s="75"/>
      <c r="C286" s="76" t="str">
        <f t="shared" si="12"/>
        <v/>
      </c>
      <c r="D286" s="74"/>
      <c r="E286" s="75"/>
      <c r="F286" s="76" t="str">
        <f t="shared" si="13"/>
        <v/>
      </c>
      <c r="G286" s="74"/>
      <c r="H286" s="75"/>
      <c r="I286" s="76" t="str">
        <f t="shared" si="14"/>
        <v/>
      </c>
    </row>
    <row r="287" spans="1:9" s="76" customFormat="1" ht="17">
      <c r="A287" s="74"/>
      <c r="B287" s="75"/>
      <c r="C287" s="76" t="str">
        <f t="shared" si="12"/>
        <v/>
      </c>
      <c r="D287" s="74"/>
      <c r="E287" s="75"/>
      <c r="F287" s="76" t="str">
        <f t="shared" si="13"/>
        <v/>
      </c>
      <c r="G287" s="74"/>
      <c r="H287" s="75"/>
      <c r="I287" s="76" t="str">
        <f t="shared" si="14"/>
        <v/>
      </c>
    </row>
    <row r="288" spans="1:9" s="76" customFormat="1" ht="17">
      <c r="A288" s="74"/>
      <c r="B288" s="75"/>
      <c r="C288" s="76" t="str">
        <f t="shared" si="12"/>
        <v/>
      </c>
      <c r="D288" s="74"/>
      <c r="E288" s="75"/>
      <c r="F288" s="76" t="str">
        <f t="shared" si="13"/>
        <v/>
      </c>
      <c r="G288" s="74"/>
      <c r="H288" s="75"/>
      <c r="I288" s="76" t="str">
        <f t="shared" si="14"/>
        <v/>
      </c>
    </row>
    <row r="289" spans="1:9" s="76" customFormat="1" ht="17">
      <c r="A289" s="74"/>
      <c r="B289" s="75"/>
      <c r="C289" s="76" t="str">
        <f t="shared" si="12"/>
        <v/>
      </c>
      <c r="D289" s="74"/>
      <c r="E289" s="75"/>
      <c r="F289" s="76" t="str">
        <f t="shared" si="13"/>
        <v/>
      </c>
      <c r="G289" s="74"/>
      <c r="H289" s="75"/>
      <c r="I289" s="76" t="str">
        <f t="shared" si="14"/>
        <v/>
      </c>
    </row>
    <row r="290" spans="1:9" s="76" customFormat="1" ht="17">
      <c r="A290" s="74"/>
      <c r="B290" s="75"/>
      <c r="C290" s="76" t="str">
        <f t="shared" si="12"/>
        <v/>
      </c>
      <c r="D290" s="74"/>
      <c r="E290" s="75"/>
      <c r="F290" s="76" t="str">
        <f t="shared" si="13"/>
        <v/>
      </c>
      <c r="G290" s="74"/>
      <c r="H290" s="75"/>
      <c r="I290" s="76" t="str">
        <f t="shared" si="14"/>
        <v/>
      </c>
    </row>
    <row r="291" spans="1:9" s="76" customFormat="1" ht="17">
      <c r="A291" s="74"/>
      <c r="B291" s="75"/>
      <c r="C291" s="76" t="str">
        <f t="shared" si="12"/>
        <v/>
      </c>
      <c r="D291" s="74"/>
      <c r="E291" s="75"/>
      <c r="F291" s="76" t="str">
        <f t="shared" si="13"/>
        <v/>
      </c>
      <c r="G291" s="74"/>
      <c r="H291" s="75"/>
      <c r="I291" s="76" t="str">
        <f t="shared" si="14"/>
        <v/>
      </c>
    </row>
    <row r="292" spans="1:9" s="76" customFormat="1" ht="17">
      <c r="A292" s="74"/>
      <c r="B292" s="75"/>
      <c r="C292" s="76" t="str">
        <f t="shared" si="12"/>
        <v/>
      </c>
      <c r="D292" s="74"/>
      <c r="E292" s="75"/>
      <c r="F292" s="76" t="str">
        <f t="shared" si="13"/>
        <v/>
      </c>
      <c r="G292" s="74"/>
      <c r="H292" s="75"/>
      <c r="I292" s="76" t="str">
        <f t="shared" si="14"/>
        <v/>
      </c>
    </row>
    <row r="293" spans="1:9" s="76" customFormat="1" ht="17">
      <c r="A293" s="74"/>
      <c r="B293" s="75"/>
      <c r="C293" s="76" t="str">
        <f t="shared" si="12"/>
        <v/>
      </c>
      <c r="D293" s="74"/>
      <c r="E293" s="75"/>
      <c r="F293" s="76" t="str">
        <f t="shared" si="13"/>
        <v/>
      </c>
      <c r="G293" s="74"/>
      <c r="H293" s="75"/>
      <c r="I293" s="76" t="str">
        <f t="shared" si="14"/>
        <v/>
      </c>
    </row>
    <row r="294" spans="1:9" s="76" customFormat="1" ht="17">
      <c r="A294" s="74"/>
      <c r="B294" s="75"/>
      <c r="C294" s="76" t="str">
        <f t="shared" si="12"/>
        <v/>
      </c>
      <c r="D294" s="74"/>
      <c r="E294" s="75"/>
      <c r="F294" s="76" t="str">
        <f t="shared" si="13"/>
        <v/>
      </c>
      <c r="G294" s="74"/>
      <c r="H294" s="75"/>
      <c r="I294" s="76" t="str">
        <f t="shared" si="14"/>
        <v/>
      </c>
    </row>
    <row r="295" spans="1:9" s="76" customFormat="1" ht="17">
      <c r="A295" s="74"/>
      <c r="B295" s="75"/>
      <c r="C295" s="76" t="str">
        <f t="shared" si="12"/>
        <v/>
      </c>
      <c r="D295" s="74"/>
      <c r="E295" s="75"/>
      <c r="F295" s="76" t="str">
        <f t="shared" si="13"/>
        <v/>
      </c>
      <c r="G295" s="74"/>
      <c r="H295" s="75"/>
      <c r="I295" s="76" t="str">
        <f t="shared" si="14"/>
        <v/>
      </c>
    </row>
    <row r="296" spans="1:9" s="76" customFormat="1" ht="17">
      <c r="A296" s="74"/>
      <c r="B296" s="75"/>
      <c r="C296" s="76" t="str">
        <f t="shared" si="12"/>
        <v/>
      </c>
      <c r="D296" s="74"/>
      <c r="E296" s="75"/>
      <c r="F296" s="76" t="str">
        <f t="shared" si="13"/>
        <v/>
      </c>
      <c r="G296" s="74"/>
      <c r="H296" s="75"/>
      <c r="I296" s="76" t="str">
        <f t="shared" si="14"/>
        <v/>
      </c>
    </row>
    <row r="297" spans="1:9" s="76" customFormat="1" ht="17">
      <c r="A297" s="74"/>
      <c r="B297" s="75"/>
      <c r="C297" s="76" t="str">
        <f t="shared" si="12"/>
        <v/>
      </c>
      <c r="D297" s="74"/>
      <c r="E297" s="75"/>
      <c r="F297" s="76" t="str">
        <f t="shared" si="13"/>
        <v/>
      </c>
      <c r="G297" s="74"/>
      <c r="H297" s="75"/>
      <c r="I297" s="76" t="str">
        <f t="shared" si="14"/>
        <v/>
      </c>
    </row>
    <row r="298" spans="1:9" s="76" customFormat="1" ht="17">
      <c r="A298" s="74"/>
      <c r="B298" s="75"/>
      <c r="C298" s="76" t="str">
        <f t="shared" si="12"/>
        <v/>
      </c>
      <c r="D298" s="74"/>
      <c r="E298" s="75"/>
      <c r="F298" s="76" t="str">
        <f t="shared" si="13"/>
        <v/>
      </c>
      <c r="G298" s="74"/>
      <c r="H298" s="75"/>
      <c r="I298" s="76" t="str">
        <f t="shared" si="14"/>
        <v/>
      </c>
    </row>
    <row r="299" spans="1:9" s="76" customFormat="1" ht="17">
      <c r="A299" s="74"/>
      <c r="B299" s="75"/>
      <c r="C299" s="76" t="str">
        <f t="shared" si="12"/>
        <v/>
      </c>
      <c r="D299" s="74"/>
      <c r="E299" s="75"/>
      <c r="F299" s="76" t="str">
        <f t="shared" si="13"/>
        <v/>
      </c>
      <c r="G299" s="74"/>
      <c r="H299" s="75"/>
      <c r="I299" s="76" t="str">
        <f t="shared" si="14"/>
        <v/>
      </c>
    </row>
    <row r="300" spans="1:9" s="76" customFormat="1" ht="17">
      <c r="A300" s="74"/>
      <c r="B300" s="75"/>
      <c r="C300" s="76" t="str">
        <f t="shared" si="12"/>
        <v/>
      </c>
      <c r="D300" s="74"/>
      <c r="E300" s="75"/>
      <c r="F300" s="76" t="str">
        <f t="shared" si="13"/>
        <v/>
      </c>
      <c r="G300" s="74"/>
      <c r="H300" s="75"/>
      <c r="I300" s="76" t="str">
        <f t="shared" si="14"/>
        <v/>
      </c>
    </row>
    <row r="301" spans="1:9" s="76" customFormat="1" ht="17">
      <c r="A301" s="74"/>
      <c r="B301" s="75"/>
      <c r="C301" s="76" t="str">
        <f t="shared" si="12"/>
        <v/>
      </c>
      <c r="D301" s="74"/>
      <c r="E301" s="75"/>
      <c r="F301" s="76" t="str">
        <f t="shared" si="13"/>
        <v/>
      </c>
      <c r="G301" s="74"/>
      <c r="H301" s="75"/>
      <c r="I301" s="76" t="str">
        <f t="shared" si="14"/>
        <v/>
      </c>
    </row>
    <row r="302" spans="1:9" s="76" customFormat="1" ht="17">
      <c r="A302" s="74"/>
      <c r="B302" s="78"/>
      <c r="C302" s="76" t="str">
        <f t="shared" si="12"/>
        <v/>
      </c>
      <c r="D302" s="74"/>
      <c r="E302" s="78"/>
      <c r="F302" s="76" t="str">
        <f t="shared" si="13"/>
        <v/>
      </c>
      <c r="G302" s="74"/>
      <c r="H302" s="78"/>
      <c r="I302" s="76" t="str">
        <f t="shared" si="14"/>
        <v/>
      </c>
    </row>
    <row r="303" spans="1:9" s="76" customFormat="1" ht="17">
      <c r="A303" s="74"/>
      <c r="B303" s="78"/>
      <c r="C303" s="76" t="str">
        <f t="shared" si="12"/>
        <v/>
      </c>
      <c r="D303" s="74"/>
      <c r="E303" s="78"/>
      <c r="F303" s="76" t="str">
        <f t="shared" si="13"/>
        <v/>
      </c>
      <c r="G303" s="74"/>
      <c r="H303" s="78"/>
      <c r="I303" s="76" t="str">
        <f t="shared" si="14"/>
        <v/>
      </c>
    </row>
    <row r="304" spans="1:9" s="76" customFormat="1" ht="17">
      <c r="A304" s="74"/>
      <c r="B304" s="78"/>
      <c r="C304" s="76" t="str">
        <f t="shared" si="12"/>
        <v/>
      </c>
      <c r="D304" s="74"/>
      <c r="E304" s="78"/>
      <c r="F304" s="76" t="str">
        <f t="shared" si="13"/>
        <v/>
      </c>
      <c r="G304" s="74"/>
      <c r="H304" s="78"/>
      <c r="I304" s="76" t="str">
        <f t="shared" si="14"/>
        <v/>
      </c>
    </row>
    <row r="305" spans="1:7" s="76" customFormat="1" ht="17">
      <c r="A305" s="76" t="s">
        <v>1446</v>
      </c>
      <c r="D305" s="76" t="s">
        <v>1446</v>
      </c>
      <c r="G305" s="76" t="s">
        <v>1446</v>
      </c>
    </row>
  </sheetData>
  <mergeCells count="4">
    <mergeCell ref="A2:H2"/>
    <mergeCell ref="A3:B3"/>
    <mergeCell ref="D3:E3"/>
    <mergeCell ref="G3:H3"/>
  </mergeCells>
  <phoneticPr fontId="1" type="noConversion"/>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A600"/>
  <sheetViews>
    <sheetView zoomScaleNormal="100" workbookViewId="0">
      <pane ySplit="1" topLeftCell="A2" activePane="bottomLeft" state="frozen"/>
      <selection pane="bottomLeft" activeCell="D15" sqref="D15"/>
    </sheetView>
  </sheetViews>
  <sheetFormatPr baseColWidth="10" defaultColWidth="73.33203125" defaultRowHeight="12"/>
  <cols>
    <col min="1" max="1" width="7.6640625" style="171" bestFit="1" customWidth="1"/>
    <col min="2" max="2" width="8.33203125" style="172" bestFit="1" customWidth="1"/>
    <col min="3" max="3" width="15.6640625" style="173" customWidth="1"/>
    <col min="4" max="4" width="47.1640625" style="174" customWidth="1"/>
    <col min="5" max="5" width="56.1640625" style="174" customWidth="1"/>
    <col min="6" max="6" width="57.33203125" style="171" customWidth="1"/>
    <col min="7" max="26" width="73.33203125" style="171"/>
    <col min="27" max="27" width="73.33203125" style="171" hidden="1" customWidth="1"/>
    <col min="28" max="29" width="73.33203125" style="171"/>
    <col min="30" max="30" width="0" style="171" hidden="1" customWidth="1"/>
    <col min="31" max="16384" width="73.33203125" style="171"/>
  </cols>
  <sheetData>
    <row r="1" spans="1:6" s="169" customFormat="1" ht="13">
      <c r="A1" s="169" t="s">
        <v>423</v>
      </c>
      <c r="B1" s="169" t="s">
        <v>424</v>
      </c>
      <c r="C1" s="170" t="s">
        <v>425</v>
      </c>
      <c r="D1" s="170" t="s">
        <v>18</v>
      </c>
      <c r="E1" s="170" t="s">
        <v>19</v>
      </c>
      <c r="F1" s="169" t="s">
        <v>621</v>
      </c>
    </row>
    <row r="2" spans="1:6" ht="78">
      <c r="A2" s="171" t="s">
        <v>1493</v>
      </c>
      <c r="B2" s="172">
        <v>1</v>
      </c>
      <c r="C2" s="173" t="s">
        <v>494</v>
      </c>
      <c r="D2" s="174" t="s">
        <v>426</v>
      </c>
      <c r="E2" s="174" t="s">
        <v>808</v>
      </c>
      <c r="F2" s="174" t="s">
        <v>808</v>
      </c>
    </row>
    <row r="3" spans="1:6" ht="91">
      <c r="A3" s="175">
        <v>650</v>
      </c>
      <c r="B3" s="172">
        <v>2</v>
      </c>
      <c r="C3" s="173" t="s">
        <v>494</v>
      </c>
      <c r="D3" s="174" t="s">
        <v>419</v>
      </c>
      <c r="E3" s="174" t="s">
        <v>809</v>
      </c>
      <c r="F3" s="174" t="s">
        <v>809</v>
      </c>
    </row>
    <row r="4" spans="1:6" ht="65">
      <c r="B4" s="172">
        <v>3</v>
      </c>
      <c r="C4" s="173" t="s">
        <v>494</v>
      </c>
      <c r="D4" s="174" t="s">
        <v>427</v>
      </c>
      <c r="E4" s="174" t="s">
        <v>810</v>
      </c>
      <c r="F4" s="174" t="s">
        <v>810</v>
      </c>
    </row>
    <row r="5" spans="1:6" ht="60">
      <c r="B5" s="172">
        <v>4</v>
      </c>
      <c r="C5" s="173" t="s">
        <v>494</v>
      </c>
      <c r="D5" s="174" t="s">
        <v>428</v>
      </c>
      <c r="E5" s="174" t="s">
        <v>811</v>
      </c>
      <c r="F5" s="174" t="s">
        <v>811</v>
      </c>
    </row>
    <row r="6" spans="1:6" ht="75">
      <c r="B6" s="172">
        <v>5</v>
      </c>
      <c r="C6" s="173" t="s">
        <v>494</v>
      </c>
      <c r="D6" s="174" t="s">
        <v>429</v>
      </c>
      <c r="E6" s="174" t="s">
        <v>812</v>
      </c>
      <c r="F6" s="174" t="s">
        <v>812</v>
      </c>
    </row>
    <row r="7" spans="1:6" ht="52">
      <c r="B7" s="172">
        <v>6</v>
      </c>
      <c r="C7" s="173" t="s">
        <v>494</v>
      </c>
      <c r="D7" s="174" t="s">
        <v>430</v>
      </c>
      <c r="E7" s="174" t="s">
        <v>813</v>
      </c>
      <c r="F7" s="174" t="s">
        <v>813</v>
      </c>
    </row>
    <row r="8" spans="1:6" ht="15">
      <c r="B8" s="172">
        <v>7</v>
      </c>
      <c r="C8" s="173" t="s">
        <v>494</v>
      </c>
      <c r="D8" s="174" t="s">
        <v>421</v>
      </c>
      <c r="E8" s="174" t="s">
        <v>814</v>
      </c>
      <c r="F8" s="174" t="s">
        <v>814</v>
      </c>
    </row>
    <row r="9" spans="1:6" ht="52">
      <c r="B9" s="172">
        <v>8</v>
      </c>
      <c r="C9" s="173" t="s">
        <v>585</v>
      </c>
      <c r="D9" s="174" t="s">
        <v>582</v>
      </c>
      <c r="E9" s="190" t="s">
        <v>1358</v>
      </c>
      <c r="F9" s="190" t="s">
        <v>1358</v>
      </c>
    </row>
    <row r="10" spans="1:6" ht="52">
      <c r="B10" s="172">
        <v>9</v>
      </c>
      <c r="C10" s="173" t="s">
        <v>585</v>
      </c>
      <c r="D10" s="174" t="s">
        <v>574</v>
      </c>
      <c r="E10" s="174" t="s">
        <v>815</v>
      </c>
      <c r="F10" s="174" t="s">
        <v>815</v>
      </c>
    </row>
    <row r="11" spans="1:6" ht="52">
      <c r="B11" s="172">
        <v>10</v>
      </c>
      <c r="C11" s="173" t="s">
        <v>585</v>
      </c>
      <c r="D11" s="174" t="s">
        <v>583</v>
      </c>
      <c r="E11" s="174" t="s">
        <v>816</v>
      </c>
      <c r="F11" s="174" t="s">
        <v>816</v>
      </c>
    </row>
    <row r="12" spans="1:6" ht="60">
      <c r="B12" s="172">
        <v>11</v>
      </c>
      <c r="C12" s="173" t="s">
        <v>585</v>
      </c>
      <c r="D12" s="174" t="s">
        <v>577</v>
      </c>
      <c r="E12" s="174" t="s">
        <v>817</v>
      </c>
      <c r="F12" s="174" t="s">
        <v>817</v>
      </c>
    </row>
    <row r="13" spans="1:6" ht="78">
      <c r="B13" s="172">
        <v>12</v>
      </c>
      <c r="C13" s="173" t="s">
        <v>585</v>
      </c>
      <c r="D13" s="174" t="s">
        <v>578</v>
      </c>
      <c r="E13" s="174" t="s">
        <v>818</v>
      </c>
      <c r="F13" s="174" t="s">
        <v>818</v>
      </c>
    </row>
    <row r="14" spans="1:6" ht="52">
      <c r="B14" s="172">
        <v>13</v>
      </c>
      <c r="C14" s="173" t="s">
        <v>494</v>
      </c>
      <c r="D14" s="174" t="s">
        <v>743</v>
      </c>
      <c r="E14" s="174" t="s">
        <v>819</v>
      </c>
      <c r="F14" s="174" t="s">
        <v>819</v>
      </c>
    </row>
    <row r="15" spans="1:6" ht="45">
      <c r="B15" s="172">
        <v>14</v>
      </c>
      <c r="C15" s="173" t="s">
        <v>494</v>
      </c>
      <c r="D15" s="174" t="s">
        <v>744</v>
      </c>
      <c r="E15" s="174" t="s">
        <v>820</v>
      </c>
      <c r="F15" s="174" t="s">
        <v>820</v>
      </c>
    </row>
    <row r="16" spans="1:6" ht="15">
      <c r="B16" s="172">
        <v>15</v>
      </c>
      <c r="C16" s="173" t="s">
        <v>494</v>
      </c>
      <c r="D16" s="174" t="s">
        <v>745</v>
      </c>
      <c r="E16" s="174" t="s">
        <v>821</v>
      </c>
      <c r="F16" s="174" t="s">
        <v>821</v>
      </c>
    </row>
    <row r="17" spans="1:6" ht="15">
      <c r="B17" s="172">
        <v>101</v>
      </c>
      <c r="D17" s="174" t="s">
        <v>20</v>
      </c>
      <c r="E17" s="174" t="s">
        <v>822</v>
      </c>
      <c r="F17" s="174" t="s">
        <v>822</v>
      </c>
    </row>
    <row r="18" spans="1:6" ht="15">
      <c r="B18" s="172">
        <v>102</v>
      </c>
      <c r="D18" s="174" t="s">
        <v>21</v>
      </c>
      <c r="E18" s="174" t="s">
        <v>823</v>
      </c>
      <c r="F18" s="174" t="s">
        <v>823</v>
      </c>
    </row>
    <row r="19" spans="1:6" ht="15">
      <c r="B19" s="172">
        <v>103</v>
      </c>
      <c r="D19" s="174" t="s">
        <v>22</v>
      </c>
      <c r="E19" s="174" t="s">
        <v>824</v>
      </c>
      <c r="F19" s="174" t="s">
        <v>824</v>
      </c>
    </row>
    <row r="20" spans="1:6" ht="15">
      <c r="B20" s="172">
        <v>104</v>
      </c>
      <c r="D20" s="174" t="s">
        <v>23</v>
      </c>
      <c r="E20" s="174" t="s">
        <v>825</v>
      </c>
      <c r="F20" s="174" t="s">
        <v>825</v>
      </c>
    </row>
    <row r="21" spans="1:6" ht="15">
      <c r="B21" s="172">
        <v>105</v>
      </c>
      <c r="D21" s="174" t="s">
        <v>24</v>
      </c>
      <c r="E21" s="174" t="s">
        <v>826</v>
      </c>
      <c r="F21" s="174" t="s">
        <v>826</v>
      </c>
    </row>
    <row r="22" spans="1:6" ht="15">
      <c r="B22" s="172">
        <v>106</v>
      </c>
      <c r="D22" s="174" t="s">
        <v>343</v>
      </c>
      <c r="E22" s="174" t="s">
        <v>827</v>
      </c>
      <c r="F22" s="174" t="s">
        <v>827</v>
      </c>
    </row>
    <row r="23" spans="1:6" ht="45">
      <c r="B23" s="172">
        <v>107</v>
      </c>
      <c r="D23" s="174" t="s">
        <v>344</v>
      </c>
      <c r="E23" s="174" t="s">
        <v>828</v>
      </c>
      <c r="F23" s="174" t="s">
        <v>828</v>
      </c>
    </row>
    <row r="24" spans="1:6" ht="45">
      <c r="B24" s="172">
        <v>108</v>
      </c>
      <c r="D24" s="174" t="s">
        <v>345</v>
      </c>
      <c r="E24" s="174" t="s">
        <v>829</v>
      </c>
      <c r="F24" s="174" t="s">
        <v>829</v>
      </c>
    </row>
    <row r="25" spans="1:6" ht="15">
      <c r="B25" s="172">
        <v>109</v>
      </c>
      <c r="D25" s="174" t="s">
        <v>25</v>
      </c>
      <c r="E25" s="174" t="s">
        <v>830</v>
      </c>
      <c r="F25" s="174" t="s">
        <v>830</v>
      </c>
    </row>
    <row r="26" spans="1:6" ht="15">
      <c r="B26" s="172">
        <v>110</v>
      </c>
      <c r="D26" s="174" t="s">
        <v>26</v>
      </c>
      <c r="E26" s="174" t="s">
        <v>831</v>
      </c>
      <c r="F26" s="174" t="s">
        <v>831</v>
      </c>
    </row>
    <row r="27" spans="1:6" ht="15">
      <c r="B27" s="172">
        <v>111</v>
      </c>
      <c r="D27" s="174" t="s">
        <v>27</v>
      </c>
      <c r="E27" s="174" t="s">
        <v>832</v>
      </c>
      <c r="F27" s="174" t="s">
        <v>832</v>
      </c>
    </row>
    <row r="28" spans="1:6" ht="15">
      <c r="A28" s="176"/>
      <c r="B28" s="172">
        <v>112</v>
      </c>
      <c r="C28" s="177" t="s">
        <v>414</v>
      </c>
      <c r="D28" s="175" t="s">
        <v>431</v>
      </c>
      <c r="E28" s="175" t="s">
        <v>833</v>
      </c>
      <c r="F28" s="175" t="s">
        <v>833</v>
      </c>
    </row>
    <row r="29" spans="1:6" ht="15">
      <c r="B29" s="172">
        <v>113</v>
      </c>
      <c r="D29" s="174" t="s">
        <v>28</v>
      </c>
      <c r="E29" s="174" t="s">
        <v>833</v>
      </c>
      <c r="F29" s="174" t="s">
        <v>833</v>
      </c>
    </row>
    <row r="30" spans="1:6" ht="15">
      <c r="B30" s="172">
        <v>114</v>
      </c>
      <c r="C30" s="173" t="s">
        <v>543</v>
      </c>
      <c r="D30" s="174" t="s">
        <v>548</v>
      </c>
      <c r="E30" s="174" t="s">
        <v>834</v>
      </c>
      <c r="F30" s="174" t="s">
        <v>834</v>
      </c>
    </row>
    <row r="31" spans="1:6" ht="15">
      <c r="B31" s="172">
        <v>115</v>
      </c>
      <c r="D31" s="174" t="s">
        <v>603</v>
      </c>
      <c r="E31" s="174" t="s">
        <v>835</v>
      </c>
      <c r="F31" s="174" t="s">
        <v>835</v>
      </c>
    </row>
    <row r="32" spans="1:6" ht="15">
      <c r="B32" s="172">
        <v>116</v>
      </c>
      <c r="D32" s="174" t="s">
        <v>29</v>
      </c>
      <c r="E32" s="174" t="s">
        <v>836</v>
      </c>
      <c r="F32" s="174" t="s">
        <v>836</v>
      </c>
    </row>
    <row r="33" spans="2:6" ht="15">
      <c r="B33" s="172">
        <v>117</v>
      </c>
      <c r="D33" s="174" t="s">
        <v>30</v>
      </c>
      <c r="E33" s="174" t="s">
        <v>837</v>
      </c>
      <c r="F33" s="174" t="s">
        <v>837</v>
      </c>
    </row>
    <row r="34" spans="2:6" ht="30">
      <c r="B34" s="172">
        <v>118</v>
      </c>
      <c r="D34" s="174" t="s">
        <v>346</v>
      </c>
      <c r="E34" s="174" t="s">
        <v>838</v>
      </c>
      <c r="F34" s="174" t="s">
        <v>838</v>
      </c>
    </row>
    <row r="35" spans="2:6" ht="15">
      <c r="B35" s="172">
        <v>119</v>
      </c>
      <c r="D35" s="174" t="s">
        <v>514</v>
      </c>
      <c r="E35" s="174" t="s">
        <v>839</v>
      </c>
      <c r="F35" s="174" t="s">
        <v>839</v>
      </c>
    </row>
    <row r="36" spans="2:6" ht="15">
      <c r="B36" s="172">
        <v>120</v>
      </c>
      <c r="D36" s="174" t="s">
        <v>500</v>
      </c>
      <c r="E36" s="174" t="s">
        <v>840</v>
      </c>
      <c r="F36" s="174" t="s">
        <v>840</v>
      </c>
    </row>
    <row r="37" spans="2:6" ht="30">
      <c r="B37" s="172">
        <v>121</v>
      </c>
      <c r="D37" s="174" t="s">
        <v>31</v>
      </c>
      <c r="E37" s="174" t="s">
        <v>841</v>
      </c>
      <c r="F37" s="174" t="s">
        <v>841</v>
      </c>
    </row>
    <row r="38" spans="2:6" ht="15">
      <c r="B38" s="172">
        <v>122</v>
      </c>
      <c r="D38" s="174" t="s">
        <v>32</v>
      </c>
      <c r="E38" s="174" t="s">
        <v>842</v>
      </c>
      <c r="F38" s="174" t="s">
        <v>842</v>
      </c>
    </row>
    <row r="39" spans="2:6" ht="15">
      <c r="B39" s="172">
        <v>123</v>
      </c>
      <c r="D39" s="174" t="s">
        <v>341</v>
      </c>
      <c r="E39" s="174" t="s">
        <v>843</v>
      </c>
      <c r="F39" s="174" t="s">
        <v>843</v>
      </c>
    </row>
    <row r="40" spans="2:6" ht="15">
      <c r="B40" s="172">
        <v>124</v>
      </c>
      <c r="D40" s="174" t="s">
        <v>33</v>
      </c>
      <c r="E40" s="174" t="s">
        <v>844</v>
      </c>
      <c r="F40" s="174" t="s">
        <v>844</v>
      </c>
    </row>
    <row r="41" spans="2:6" ht="26">
      <c r="B41" s="172">
        <v>125</v>
      </c>
      <c r="D41" s="174" t="s">
        <v>516</v>
      </c>
      <c r="E41" s="174" t="s">
        <v>845</v>
      </c>
      <c r="F41" s="174" t="s">
        <v>845</v>
      </c>
    </row>
    <row r="42" spans="2:6" ht="15">
      <c r="B42" s="172">
        <v>126</v>
      </c>
      <c r="D42" s="174" t="s">
        <v>515</v>
      </c>
      <c r="E42" s="174" t="s">
        <v>846</v>
      </c>
      <c r="F42" s="174" t="s">
        <v>846</v>
      </c>
    </row>
    <row r="43" spans="2:6" ht="26">
      <c r="B43" s="172">
        <v>127</v>
      </c>
      <c r="D43" s="174" t="s">
        <v>34</v>
      </c>
      <c r="E43" s="174" t="s">
        <v>847</v>
      </c>
      <c r="F43" s="174" t="s">
        <v>847</v>
      </c>
    </row>
    <row r="44" spans="2:6" ht="26">
      <c r="B44" s="172">
        <v>128</v>
      </c>
      <c r="D44" s="174" t="s">
        <v>35</v>
      </c>
      <c r="E44" s="174" t="s">
        <v>848</v>
      </c>
      <c r="F44" s="174" t="s">
        <v>848</v>
      </c>
    </row>
    <row r="45" spans="2:6" ht="26">
      <c r="B45" s="172">
        <v>129</v>
      </c>
      <c r="D45" s="174" t="s">
        <v>342</v>
      </c>
      <c r="E45" s="174" t="s">
        <v>849</v>
      </c>
      <c r="F45" s="174" t="s">
        <v>849</v>
      </c>
    </row>
    <row r="46" spans="2:6" ht="15">
      <c r="B46" s="172">
        <v>130</v>
      </c>
      <c r="D46" s="174" t="s">
        <v>36</v>
      </c>
      <c r="E46" s="174" t="s">
        <v>850</v>
      </c>
      <c r="F46" s="174" t="s">
        <v>850</v>
      </c>
    </row>
    <row r="47" spans="2:6" ht="15">
      <c r="B47" s="172">
        <v>131</v>
      </c>
      <c r="D47" s="174" t="s">
        <v>347</v>
      </c>
      <c r="E47" s="174" t="s">
        <v>851</v>
      </c>
      <c r="F47" s="174" t="s">
        <v>851</v>
      </c>
    </row>
    <row r="48" spans="2:6" ht="15">
      <c r="B48" s="172">
        <v>132</v>
      </c>
      <c r="D48" s="174" t="s">
        <v>37</v>
      </c>
      <c r="E48" s="174" t="s">
        <v>852</v>
      </c>
      <c r="F48" s="174" t="s">
        <v>852</v>
      </c>
    </row>
    <row r="49" spans="2:6" ht="15">
      <c r="B49" s="172">
        <v>133</v>
      </c>
      <c r="D49" s="174" t="s">
        <v>630</v>
      </c>
      <c r="E49" s="174" t="s">
        <v>853</v>
      </c>
      <c r="F49" s="174" t="s">
        <v>853</v>
      </c>
    </row>
    <row r="50" spans="2:6" ht="15">
      <c r="B50" s="172">
        <v>134</v>
      </c>
      <c r="D50" s="174" t="s">
        <v>629</v>
      </c>
      <c r="E50" s="174" t="s">
        <v>854</v>
      </c>
      <c r="F50" s="174" t="s">
        <v>854</v>
      </c>
    </row>
    <row r="51" spans="2:6" ht="13">
      <c r="B51" s="172">
        <v>135</v>
      </c>
      <c r="D51" s="175" t="s">
        <v>628</v>
      </c>
      <c r="E51" s="178">
        <v>43435</v>
      </c>
      <c r="F51" s="178">
        <v>43435</v>
      </c>
    </row>
    <row r="52" spans="2:6" ht="13">
      <c r="B52" s="172">
        <v>136</v>
      </c>
      <c r="D52" s="175" t="s">
        <v>348</v>
      </c>
      <c r="E52" s="178">
        <v>43465</v>
      </c>
      <c r="F52" s="178">
        <v>43465</v>
      </c>
    </row>
    <row r="53" spans="2:6" ht="13">
      <c r="B53" s="172">
        <v>137</v>
      </c>
      <c r="D53" s="174" t="s">
        <v>38</v>
      </c>
      <c r="E53" s="174" t="s">
        <v>38</v>
      </c>
      <c r="F53" s="174" t="s">
        <v>38</v>
      </c>
    </row>
    <row r="54" spans="2:6" ht="15">
      <c r="B54" s="172">
        <v>138</v>
      </c>
      <c r="D54" s="174" t="s">
        <v>39</v>
      </c>
      <c r="E54" s="174" t="s">
        <v>855</v>
      </c>
      <c r="F54" s="174" t="s">
        <v>855</v>
      </c>
    </row>
    <row r="55" spans="2:6" ht="15">
      <c r="B55" s="172">
        <v>139</v>
      </c>
      <c r="C55" s="173" t="s">
        <v>432</v>
      </c>
      <c r="D55" s="174" t="s">
        <v>433</v>
      </c>
      <c r="E55" s="174" t="s">
        <v>856</v>
      </c>
      <c r="F55" s="174" t="s">
        <v>856</v>
      </c>
    </row>
    <row r="56" spans="2:6" ht="30">
      <c r="B56" s="172">
        <v>140</v>
      </c>
      <c r="D56" s="174" t="s">
        <v>40</v>
      </c>
      <c r="E56" s="174" t="s">
        <v>857</v>
      </c>
      <c r="F56" s="174" t="s">
        <v>857</v>
      </c>
    </row>
    <row r="57" spans="2:6" ht="30">
      <c r="B57" s="172">
        <v>141</v>
      </c>
      <c r="D57" s="174" t="s">
        <v>41</v>
      </c>
      <c r="E57" s="174" t="s">
        <v>858</v>
      </c>
      <c r="F57" s="174" t="s">
        <v>858</v>
      </c>
    </row>
    <row r="58" spans="2:6" ht="15">
      <c r="B58" s="172">
        <v>142</v>
      </c>
      <c r="D58" s="174" t="s">
        <v>496</v>
      </c>
      <c r="E58" s="174" t="s">
        <v>859</v>
      </c>
      <c r="F58" s="174" t="s">
        <v>859</v>
      </c>
    </row>
    <row r="59" spans="2:6" ht="14">
      <c r="B59" s="172">
        <v>143</v>
      </c>
      <c r="C59" s="173" t="s">
        <v>466</v>
      </c>
      <c r="D59" s="171" t="s">
        <v>349</v>
      </c>
      <c r="E59" s="179" t="s">
        <v>860</v>
      </c>
      <c r="F59" s="179" t="s">
        <v>860</v>
      </c>
    </row>
    <row r="60" spans="2:6" ht="15">
      <c r="B60" s="172">
        <v>144</v>
      </c>
      <c r="D60" s="174" t="s">
        <v>42</v>
      </c>
      <c r="E60" s="174" t="s">
        <v>861</v>
      </c>
      <c r="F60" s="174" t="s">
        <v>861</v>
      </c>
    </row>
    <row r="61" spans="2:6" ht="30">
      <c r="B61" s="172">
        <v>145</v>
      </c>
      <c r="D61" s="174" t="s">
        <v>43</v>
      </c>
      <c r="E61" s="174" t="s">
        <v>862</v>
      </c>
      <c r="F61" s="174" t="s">
        <v>862</v>
      </c>
    </row>
    <row r="62" spans="2:6" ht="15">
      <c r="B62" s="172">
        <v>146</v>
      </c>
      <c r="D62" s="174" t="s">
        <v>44</v>
      </c>
      <c r="E62" s="174" t="s">
        <v>863</v>
      </c>
      <c r="F62" s="174" t="s">
        <v>863</v>
      </c>
    </row>
    <row r="63" spans="2:6" ht="30">
      <c r="B63" s="172">
        <v>147</v>
      </c>
      <c r="D63" s="174" t="s">
        <v>45</v>
      </c>
      <c r="E63" s="174" t="s">
        <v>864</v>
      </c>
      <c r="F63" s="174" t="s">
        <v>864</v>
      </c>
    </row>
    <row r="64" spans="2:6" ht="15">
      <c r="B64" s="172">
        <v>148</v>
      </c>
      <c r="D64" s="174" t="s">
        <v>497</v>
      </c>
      <c r="E64" s="174" t="s">
        <v>865</v>
      </c>
      <c r="F64" s="174" t="s">
        <v>865</v>
      </c>
    </row>
    <row r="65" spans="1:6" ht="15">
      <c r="B65" s="172">
        <v>149</v>
      </c>
      <c r="D65" s="174" t="s">
        <v>498</v>
      </c>
      <c r="E65" s="174" t="s">
        <v>866</v>
      </c>
      <c r="F65" s="174" t="s">
        <v>866</v>
      </c>
    </row>
    <row r="66" spans="1:6" ht="15">
      <c r="B66" s="172">
        <v>150</v>
      </c>
      <c r="D66" s="174" t="s">
        <v>46</v>
      </c>
      <c r="E66" s="174" t="s">
        <v>867</v>
      </c>
      <c r="F66" s="174" t="s">
        <v>867</v>
      </c>
    </row>
    <row r="67" spans="1:6" ht="14">
      <c r="B67" s="172">
        <v>151</v>
      </c>
      <c r="C67" s="173" t="s">
        <v>466</v>
      </c>
      <c r="D67" s="171" t="s">
        <v>350</v>
      </c>
      <c r="E67" s="179" t="s">
        <v>868</v>
      </c>
      <c r="F67" s="179" t="s">
        <v>868</v>
      </c>
    </row>
    <row r="68" spans="1:6" ht="15">
      <c r="B68" s="172">
        <v>152</v>
      </c>
      <c r="D68" s="174" t="s">
        <v>47</v>
      </c>
      <c r="E68" s="174" t="s">
        <v>869</v>
      </c>
      <c r="F68" s="174" t="s">
        <v>869</v>
      </c>
    </row>
    <row r="69" spans="1:6" ht="15">
      <c r="B69" s="172">
        <v>153</v>
      </c>
      <c r="D69" s="174" t="s">
        <v>48</v>
      </c>
      <c r="E69" s="174" t="s">
        <v>870</v>
      </c>
      <c r="F69" s="174" t="s">
        <v>870</v>
      </c>
    </row>
    <row r="70" spans="1:6" ht="15">
      <c r="B70" s="172">
        <v>154</v>
      </c>
      <c r="D70" s="174" t="s">
        <v>49</v>
      </c>
      <c r="E70" s="174" t="s">
        <v>871</v>
      </c>
      <c r="F70" s="174" t="s">
        <v>871</v>
      </c>
    </row>
    <row r="71" spans="1:6" ht="30">
      <c r="B71" s="172">
        <v>155</v>
      </c>
      <c r="D71" s="174" t="s">
        <v>50</v>
      </c>
      <c r="E71" s="174" t="s">
        <v>872</v>
      </c>
      <c r="F71" s="174" t="s">
        <v>872</v>
      </c>
    </row>
    <row r="72" spans="1:6" ht="14">
      <c r="B72" s="172">
        <v>156</v>
      </c>
      <c r="C72" s="173" t="s">
        <v>466</v>
      </c>
      <c r="D72" s="171" t="s">
        <v>464</v>
      </c>
      <c r="E72" s="179" t="s">
        <v>873</v>
      </c>
      <c r="F72" s="179" t="s">
        <v>873</v>
      </c>
    </row>
    <row r="73" spans="1:6" ht="14">
      <c r="B73" s="172">
        <v>157</v>
      </c>
      <c r="C73" s="173" t="s">
        <v>466</v>
      </c>
      <c r="D73" s="171" t="s">
        <v>463</v>
      </c>
      <c r="E73" s="179" t="s">
        <v>874</v>
      </c>
      <c r="F73" s="179" t="s">
        <v>874</v>
      </c>
    </row>
    <row r="74" spans="1:6" ht="15">
      <c r="B74" s="172">
        <v>158</v>
      </c>
      <c r="D74" s="174" t="s">
        <v>351</v>
      </c>
      <c r="E74" s="174" t="s">
        <v>875</v>
      </c>
      <c r="F74" s="174" t="s">
        <v>875</v>
      </c>
    </row>
    <row r="75" spans="1:6" ht="15">
      <c r="A75" s="180"/>
      <c r="B75" s="172">
        <v>159</v>
      </c>
      <c r="C75" s="177" t="s">
        <v>414</v>
      </c>
      <c r="D75" s="175" t="s">
        <v>434</v>
      </c>
      <c r="E75" s="175" t="s">
        <v>876</v>
      </c>
      <c r="F75" s="175" t="s">
        <v>876</v>
      </c>
    </row>
    <row r="76" spans="1:6" ht="15">
      <c r="B76" s="172">
        <v>160</v>
      </c>
      <c r="D76" s="174" t="s">
        <v>51</v>
      </c>
      <c r="E76" s="175" t="s">
        <v>877</v>
      </c>
      <c r="F76" s="175" t="s">
        <v>877</v>
      </c>
    </row>
    <row r="77" spans="1:6" ht="15">
      <c r="B77" s="172">
        <v>161</v>
      </c>
      <c r="D77" s="174" t="s">
        <v>52</v>
      </c>
      <c r="E77" s="175" t="s">
        <v>878</v>
      </c>
      <c r="F77" s="175" t="s">
        <v>878</v>
      </c>
    </row>
    <row r="78" spans="1:6" ht="15">
      <c r="B78" s="172">
        <v>162</v>
      </c>
      <c r="D78" s="174" t="s">
        <v>510</v>
      </c>
      <c r="E78" s="174" t="s">
        <v>879</v>
      </c>
      <c r="F78" s="174" t="s">
        <v>879</v>
      </c>
    </row>
    <row r="79" spans="1:6" ht="15">
      <c r="B79" s="172">
        <v>163</v>
      </c>
      <c r="D79" s="174" t="s">
        <v>508</v>
      </c>
      <c r="E79" s="174" t="s">
        <v>880</v>
      </c>
      <c r="F79" s="174" t="s">
        <v>880</v>
      </c>
    </row>
    <row r="80" spans="1:6" ht="15">
      <c r="B80" s="172">
        <v>164</v>
      </c>
      <c r="D80" s="174" t="s">
        <v>507</v>
      </c>
      <c r="E80" s="174" t="s">
        <v>881</v>
      </c>
      <c r="F80" s="174" t="s">
        <v>881</v>
      </c>
    </row>
    <row r="81" spans="1:6" ht="15">
      <c r="A81" s="180"/>
      <c r="B81" s="172">
        <v>165</v>
      </c>
      <c r="C81" s="177" t="s">
        <v>414</v>
      </c>
      <c r="D81" s="175" t="s">
        <v>435</v>
      </c>
      <c r="E81" s="175" t="s">
        <v>882</v>
      </c>
      <c r="F81" s="175" t="s">
        <v>882</v>
      </c>
    </row>
    <row r="82" spans="1:6" ht="15">
      <c r="A82" s="180"/>
      <c r="B82" s="172">
        <v>166</v>
      </c>
      <c r="C82" s="177" t="s">
        <v>414</v>
      </c>
      <c r="D82" s="175" t="s">
        <v>436</v>
      </c>
      <c r="E82" s="175" t="s">
        <v>883</v>
      </c>
      <c r="F82" s="175" t="s">
        <v>883</v>
      </c>
    </row>
    <row r="83" spans="1:6" ht="15">
      <c r="A83" s="180"/>
      <c r="B83" s="172">
        <v>167</v>
      </c>
      <c r="C83" s="177" t="s">
        <v>414</v>
      </c>
      <c r="D83" s="175" t="s">
        <v>437</v>
      </c>
      <c r="E83" s="175" t="s">
        <v>884</v>
      </c>
      <c r="F83" s="175" t="s">
        <v>884</v>
      </c>
    </row>
    <row r="84" spans="1:6" ht="15">
      <c r="A84" s="180"/>
      <c r="B84" s="172">
        <v>168</v>
      </c>
      <c r="C84" s="177" t="s">
        <v>414</v>
      </c>
      <c r="D84" s="175" t="s">
        <v>422</v>
      </c>
      <c r="E84" s="175" t="s">
        <v>885</v>
      </c>
      <c r="F84" s="175" t="s">
        <v>885</v>
      </c>
    </row>
    <row r="85" spans="1:6" ht="15">
      <c r="B85" s="172">
        <v>169</v>
      </c>
      <c r="D85" s="174" t="s">
        <v>53</v>
      </c>
      <c r="E85" s="174" t="s">
        <v>886</v>
      </c>
      <c r="F85" s="174" t="s">
        <v>886</v>
      </c>
    </row>
    <row r="86" spans="1:6" ht="15">
      <c r="B86" s="172">
        <v>170</v>
      </c>
      <c r="D86" s="174" t="s">
        <v>54</v>
      </c>
      <c r="E86" s="174" t="s">
        <v>887</v>
      </c>
      <c r="F86" s="174" t="s">
        <v>887</v>
      </c>
    </row>
    <row r="87" spans="1:6" ht="15">
      <c r="B87" s="172">
        <v>171</v>
      </c>
      <c r="D87" s="174" t="s">
        <v>438</v>
      </c>
      <c r="E87" s="174" t="s">
        <v>888</v>
      </c>
      <c r="F87" s="174" t="s">
        <v>888</v>
      </c>
    </row>
    <row r="88" spans="1:6" ht="15">
      <c r="B88" s="172">
        <v>172</v>
      </c>
      <c r="D88" s="174" t="s">
        <v>55</v>
      </c>
      <c r="E88" s="174" t="s">
        <v>889</v>
      </c>
      <c r="F88" s="174" t="s">
        <v>889</v>
      </c>
    </row>
    <row r="89" spans="1:6" ht="15">
      <c r="B89" s="172">
        <v>173</v>
      </c>
      <c r="D89" s="174" t="s">
        <v>56</v>
      </c>
      <c r="E89" s="174" t="s">
        <v>890</v>
      </c>
      <c r="F89" s="174" t="s">
        <v>890</v>
      </c>
    </row>
    <row r="90" spans="1:6" ht="15">
      <c r="B90" s="172">
        <v>174</v>
      </c>
      <c r="D90" s="174" t="s">
        <v>57</v>
      </c>
      <c r="E90" s="174" t="s">
        <v>891</v>
      </c>
      <c r="F90" s="174" t="s">
        <v>891</v>
      </c>
    </row>
    <row r="91" spans="1:6" ht="15">
      <c r="B91" s="172">
        <v>175</v>
      </c>
      <c r="D91" s="174" t="s">
        <v>58</v>
      </c>
      <c r="E91" s="174" t="s">
        <v>892</v>
      </c>
      <c r="F91" s="174" t="s">
        <v>892</v>
      </c>
    </row>
    <row r="92" spans="1:6" ht="30">
      <c r="B92" s="172">
        <v>176</v>
      </c>
      <c r="D92" s="174" t="s">
        <v>59</v>
      </c>
      <c r="E92" s="174" t="s">
        <v>893</v>
      </c>
      <c r="F92" s="174" t="s">
        <v>893</v>
      </c>
    </row>
    <row r="93" spans="1:6" ht="15">
      <c r="B93" s="172">
        <v>177</v>
      </c>
      <c r="D93" s="174" t="s">
        <v>60</v>
      </c>
      <c r="E93" s="174" t="s">
        <v>894</v>
      </c>
      <c r="F93" s="174" t="s">
        <v>894</v>
      </c>
    </row>
    <row r="94" spans="1:6" ht="15">
      <c r="B94" s="172">
        <v>178</v>
      </c>
      <c r="D94" s="174" t="s">
        <v>61</v>
      </c>
      <c r="E94" s="174" t="s">
        <v>895</v>
      </c>
      <c r="F94" s="174" t="s">
        <v>895</v>
      </c>
    </row>
    <row r="95" spans="1:6" ht="15">
      <c r="B95" s="172">
        <v>179</v>
      </c>
      <c r="D95" s="174" t="s">
        <v>62</v>
      </c>
      <c r="E95" s="174" t="s">
        <v>896</v>
      </c>
      <c r="F95" s="174" t="s">
        <v>896</v>
      </c>
    </row>
    <row r="96" spans="1:6" ht="15">
      <c r="B96" s="172">
        <v>180</v>
      </c>
      <c r="D96" s="174" t="s">
        <v>352</v>
      </c>
      <c r="E96" s="174" t="s">
        <v>897</v>
      </c>
      <c r="F96" s="174" t="s">
        <v>897</v>
      </c>
    </row>
    <row r="97" spans="2:6" ht="15">
      <c r="B97" s="172">
        <v>181</v>
      </c>
      <c r="C97" s="173" t="s">
        <v>543</v>
      </c>
      <c r="D97" s="174" t="s">
        <v>564</v>
      </c>
      <c r="E97" s="174" t="s">
        <v>898</v>
      </c>
      <c r="F97" s="174" t="s">
        <v>898</v>
      </c>
    </row>
    <row r="98" spans="2:6" ht="45">
      <c r="B98" s="172">
        <v>182</v>
      </c>
      <c r="C98" s="173" t="s">
        <v>543</v>
      </c>
      <c r="D98" s="174" t="s">
        <v>584</v>
      </c>
      <c r="E98" s="174" t="s">
        <v>899</v>
      </c>
      <c r="F98" s="174" t="s">
        <v>899</v>
      </c>
    </row>
    <row r="99" spans="2:6" ht="15">
      <c r="B99" s="172">
        <v>183</v>
      </c>
      <c r="D99" s="174" t="s">
        <v>63</v>
      </c>
      <c r="E99" s="174" t="s">
        <v>900</v>
      </c>
      <c r="F99" s="174" t="s">
        <v>900</v>
      </c>
    </row>
    <row r="100" spans="2:6" ht="15">
      <c r="B100" s="172">
        <v>184</v>
      </c>
      <c r="D100" s="174" t="s">
        <v>618</v>
      </c>
      <c r="E100" s="174" t="s">
        <v>901</v>
      </c>
      <c r="F100" s="174" t="s">
        <v>901</v>
      </c>
    </row>
    <row r="101" spans="2:6" ht="15">
      <c r="B101" s="172">
        <v>185</v>
      </c>
      <c r="D101" s="174" t="s">
        <v>64</v>
      </c>
      <c r="E101" s="174" t="s">
        <v>902</v>
      </c>
      <c r="F101" s="174" t="s">
        <v>902</v>
      </c>
    </row>
    <row r="102" spans="2:6" ht="26">
      <c r="B102" s="172">
        <v>186</v>
      </c>
      <c r="D102" s="174" t="s">
        <v>65</v>
      </c>
      <c r="E102" s="174" t="s">
        <v>903</v>
      </c>
      <c r="F102" s="174" t="s">
        <v>903</v>
      </c>
    </row>
    <row r="103" spans="2:6" ht="26">
      <c r="B103" s="172">
        <v>187</v>
      </c>
      <c r="D103" s="174" t="s">
        <v>66</v>
      </c>
      <c r="E103" s="174" t="s">
        <v>904</v>
      </c>
      <c r="F103" s="174" t="s">
        <v>904</v>
      </c>
    </row>
    <row r="104" spans="2:6" ht="15">
      <c r="B104" s="172">
        <v>188</v>
      </c>
      <c r="D104" s="174" t="s">
        <v>67</v>
      </c>
      <c r="E104" s="174" t="s">
        <v>905</v>
      </c>
      <c r="F104" s="174" t="s">
        <v>905</v>
      </c>
    </row>
    <row r="105" spans="2:6" ht="15">
      <c r="B105" s="172">
        <v>189</v>
      </c>
      <c r="D105" s="174" t="s">
        <v>68</v>
      </c>
      <c r="E105" s="174" t="s">
        <v>906</v>
      </c>
      <c r="F105" s="174" t="s">
        <v>906</v>
      </c>
    </row>
    <row r="106" spans="2:6" ht="15">
      <c r="B106" s="172">
        <v>190</v>
      </c>
      <c r="C106" s="173" t="s">
        <v>543</v>
      </c>
      <c r="D106" s="174" t="s">
        <v>562</v>
      </c>
      <c r="E106" s="174" t="s">
        <v>907</v>
      </c>
      <c r="F106" s="174" t="s">
        <v>907</v>
      </c>
    </row>
    <row r="107" spans="2:6" ht="15">
      <c r="B107" s="172">
        <v>191</v>
      </c>
      <c r="D107" s="174" t="s">
        <v>590</v>
      </c>
      <c r="E107" s="174" t="s">
        <v>908</v>
      </c>
      <c r="F107" s="174" t="s">
        <v>908</v>
      </c>
    </row>
    <row r="108" spans="2:6" ht="15">
      <c r="B108" s="172">
        <v>192</v>
      </c>
      <c r="D108" s="174" t="s">
        <v>456</v>
      </c>
      <c r="E108" s="174" t="s">
        <v>909</v>
      </c>
      <c r="F108" s="174" t="s">
        <v>909</v>
      </c>
    </row>
    <row r="109" spans="2:6" ht="15">
      <c r="B109" s="172">
        <v>193</v>
      </c>
      <c r="D109" s="174" t="s">
        <v>457</v>
      </c>
      <c r="E109" s="174" t="s">
        <v>910</v>
      </c>
      <c r="F109" s="174" t="s">
        <v>910</v>
      </c>
    </row>
    <row r="110" spans="2:6" ht="15">
      <c r="B110" s="172">
        <v>194</v>
      </c>
      <c r="D110" s="174" t="s">
        <v>69</v>
      </c>
      <c r="E110" s="174" t="s">
        <v>911</v>
      </c>
      <c r="F110" s="174" t="s">
        <v>911</v>
      </c>
    </row>
    <row r="111" spans="2:6" ht="15">
      <c r="B111" s="172">
        <v>195</v>
      </c>
      <c r="D111" s="174" t="s">
        <v>70</v>
      </c>
      <c r="E111" s="174" t="s">
        <v>912</v>
      </c>
      <c r="F111" s="174" t="s">
        <v>912</v>
      </c>
    </row>
    <row r="112" spans="2:6" ht="15">
      <c r="B112" s="172">
        <v>196</v>
      </c>
      <c r="D112" s="174" t="s">
        <v>353</v>
      </c>
      <c r="E112" s="174" t="s">
        <v>913</v>
      </c>
      <c r="F112" s="174" t="s">
        <v>913</v>
      </c>
    </row>
    <row r="113" spans="2:6" ht="26">
      <c r="B113" s="172">
        <v>197</v>
      </c>
      <c r="D113" s="174" t="s">
        <v>354</v>
      </c>
      <c r="E113" s="174" t="s">
        <v>914</v>
      </c>
      <c r="F113" s="174" t="s">
        <v>914</v>
      </c>
    </row>
    <row r="114" spans="2:6" ht="28">
      <c r="B114" s="172">
        <v>198</v>
      </c>
      <c r="D114" s="174" t="s">
        <v>71</v>
      </c>
      <c r="E114" s="174" t="s">
        <v>915</v>
      </c>
      <c r="F114" s="174" t="s">
        <v>915</v>
      </c>
    </row>
    <row r="115" spans="2:6" ht="15">
      <c r="B115" s="172">
        <v>199</v>
      </c>
      <c r="D115" s="174" t="s">
        <v>620</v>
      </c>
      <c r="E115" s="174" t="s">
        <v>916</v>
      </c>
      <c r="F115" s="174" t="s">
        <v>916</v>
      </c>
    </row>
    <row r="116" spans="2:6" ht="13">
      <c r="B116" s="172">
        <v>200</v>
      </c>
      <c r="D116" s="174" t="s">
        <v>72</v>
      </c>
      <c r="E116" s="174" t="s">
        <v>73</v>
      </c>
      <c r="F116" s="174" t="s">
        <v>73</v>
      </c>
    </row>
    <row r="117" spans="2:6" ht="15">
      <c r="B117" s="172">
        <v>201</v>
      </c>
      <c r="D117" s="174" t="s">
        <v>613</v>
      </c>
      <c r="E117" s="174" t="s">
        <v>917</v>
      </c>
      <c r="F117" s="174" t="s">
        <v>917</v>
      </c>
    </row>
    <row r="118" spans="2:6" ht="15">
      <c r="B118" s="172">
        <v>202</v>
      </c>
      <c r="D118" s="174" t="s">
        <v>355</v>
      </c>
      <c r="E118" s="174" t="s">
        <v>918</v>
      </c>
      <c r="F118" s="174" t="s">
        <v>918</v>
      </c>
    </row>
    <row r="119" spans="2:6" ht="15">
      <c r="B119" s="172">
        <v>203</v>
      </c>
      <c r="D119" s="174" t="s">
        <v>356</v>
      </c>
      <c r="E119" s="174" t="s">
        <v>919</v>
      </c>
      <c r="F119" s="174" t="s">
        <v>919</v>
      </c>
    </row>
    <row r="120" spans="2:6" ht="15">
      <c r="B120" s="172">
        <v>204</v>
      </c>
      <c r="D120" s="174" t="s">
        <v>357</v>
      </c>
      <c r="E120" s="174" t="s">
        <v>920</v>
      </c>
      <c r="F120" s="174" t="s">
        <v>920</v>
      </c>
    </row>
    <row r="121" spans="2:6" ht="15">
      <c r="B121" s="172">
        <v>205</v>
      </c>
      <c r="D121" s="174" t="s">
        <v>604</v>
      </c>
      <c r="E121" s="174" t="s">
        <v>921</v>
      </c>
      <c r="F121" s="174" t="s">
        <v>921</v>
      </c>
    </row>
    <row r="122" spans="2:6" ht="15">
      <c r="B122" s="172">
        <v>206</v>
      </c>
      <c r="D122" s="174" t="s">
        <v>597</v>
      </c>
      <c r="E122" s="174" t="s">
        <v>922</v>
      </c>
      <c r="F122" s="174" t="s">
        <v>922</v>
      </c>
    </row>
    <row r="123" spans="2:6" ht="15">
      <c r="B123" s="172">
        <v>207</v>
      </c>
      <c r="D123" s="174" t="s">
        <v>74</v>
      </c>
      <c r="E123" s="174" t="s">
        <v>923</v>
      </c>
      <c r="F123" s="174" t="s">
        <v>923</v>
      </c>
    </row>
    <row r="124" spans="2:6" ht="26">
      <c r="B124" s="172">
        <v>208</v>
      </c>
      <c r="D124" s="174" t="s">
        <v>75</v>
      </c>
      <c r="E124" s="174" t="s">
        <v>924</v>
      </c>
      <c r="F124" s="174" t="s">
        <v>924</v>
      </c>
    </row>
    <row r="125" spans="2:6" ht="26">
      <c r="B125" s="172">
        <v>209</v>
      </c>
      <c r="D125" s="174" t="s">
        <v>76</v>
      </c>
      <c r="E125" s="174" t="s">
        <v>925</v>
      </c>
      <c r="F125" s="174" t="s">
        <v>925</v>
      </c>
    </row>
    <row r="126" spans="2:6" ht="15">
      <c r="B126" s="172">
        <v>210</v>
      </c>
      <c r="D126" s="174" t="s">
        <v>458</v>
      </c>
      <c r="E126" s="174" t="s">
        <v>926</v>
      </c>
      <c r="F126" s="174" t="s">
        <v>926</v>
      </c>
    </row>
    <row r="127" spans="2:6" ht="13">
      <c r="B127" s="172">
        <v>211</v>
      </c>
      <c r="D127" s="174" t="s">
        <v>77</v>
      </c>
      <c r="E127" s="174" t="s">
        <v>77</v>
      </c>
      <c r="F127" s="174" t="s">
        <v>77</v>
      </c>
    </row>
    <row r="128" spans="2:6" ht="15">
      <c r="B128" s="172">
        <v>212</v>
      </c>
      <c r="D128" s="174" t="s">
        <v>78</v>
      </c>
      <c r="E128" s="174" t="s">
        <v>927</v>
      </c>
      <c r="F128" s="174" t="s">
        <v>927</v>
      </c>
    </row>
    <row r="129" spans="2:6" ht="15">
      <c r="B129" s="172">
        <v>213</v>
      </c>
      <c r="D129" s="174" t="s">
        <v>79</v>
      </c>
      <c r="E129" s="174" t="s">
        <v>928</v>
      </c>
      <c r="F129" s="174" t="s">
        <v>928</v>
      </c>
    </row>
    <row r="130" spans="2:6" ht="15">
      <c r="B130" s="172">
        <v>214</v>
      </c>
      <c r="D130" s="174" t="s">
        <v>80</v>
      </c>
      <c r="E130" s="174" t="s">
        <v>929</v>
      </c>
      <c r="F130" s="174" t="s">
        <v>929</v>
      </c>
    </row>
    <row r="131" spans="2:6" ht="15">
      <c r="B131" s="172">
        <v>215</v>
      </c>
      <c r="D131" s="174" t="s">
        <v>358</v>
      </c>
      <c r="E131" s="174" t="s">
        <v>930</v>
      </c>
      <c r="F131" s="174" t="s">
        <v>930</v>
      </c>
    </row>
    <row r="132" spans="2:6" ht="15">
      <c r="B132" s="172">
        <v>216</v>
      </c>
      <c r="D132" s="174" t="s">
        <v>81</v>
      </c>
      <c r="E132" s="174" t="s">
        <v>931</v>
      </c>
      <c r="F132" s="174" t="s">
        <v>931</v>
      </c>
    </row>
    <row r="133" spans="2:6" ht="15">
      <c r="B133" s="172">
        <v>217</v>
      </c>
      <c r="D133" s="174" t="s">
        <v>359</v>
      </c>
      <c r="E133" s="174" t="s">
        <v>932</v>
      </c>
      <c r="F133" s="174" t="s">
        <v>932</v>
      </c>
    </row>
    <row r="134" spans="2:6" ht="15">
      <c r="B134" s="172">
        <v>218</v>
      </c>
      <c r="D134" s="174" t="s">
        <v>82</v>
      </c>
      <c r="E134" s="174" t="s">
        <v>933</v>
      </c>
      <c r="F134" s="174" t="s">
        <v>933</v>
      </c>
    </row>
    <row r="135" spans="2:6" ht="15">
      <c r="B135" s="172">
        <v>219</v>
      </c>
      <c r="D135" s="174" t="s">
        <v>83</v>
      </c>
      <c r="E135" s="174" t="s">
        <v>934</v>
      </c>
      <c r="F135" s="174" t="s">
        <v>934</v>
      </c>
    </row>
    <row r="136" spans="2:6" ht="15">
      <c r="B136" s="172">
        <v>220</v>
      </c>
      <c r="D136" s="174" t="s">
        <v>84</v>
      </c>
      <c r="E136" s="174" t="s">
        <v>935</v>
      </c>
      <c r="F136" s="174" t="s">
        <v>935</v>
      </c>
    </row>
    <row r="137" spans="2:6" ht="15">
      <c r="B137" s="172">
        <v>221</v>
      </c>
      <c r="D137" s="174" t="s">
        <v>360</v>
      </c>
      <c r="E137" s="174" t="s">
        <v>936</v>
      </c>
      <c r="F137" s="174" t="s">
        <v>936</v>
      </c>
    </row>
    <row r="138" spans="2:6" ht="15">
      <c r="B138" s="172">
        <v>222</v>
      </c>
      <c r="D138" s="174" t="s">
        <v>85</v>
      </c>
      <c r="E138" s="174" t="s">
        <v>937</v>
      </c>
      <c r="F138" s="174" t="s">
        <v>937</v>
      </c>
    </row>
    <row r="139" spans="2:6" ht="15">
      <c r="B139" s="172">
        <v>223</v>
      </c>
      <c r="D139" s="174" t="s">
        <v>86</v>
      </c>
      <c r="E139" s="174" t="s">
        <v>938</v>
      </c>
      <c r="F139" s="174" t="s">
        <v>938</v>
      </c>
    </row>
    <row r="140" spans="2:6" ht="15">
      <c r="B140" s="172">
        <v>224</v>
      </c>
      <c r="C140" s="173" t="s">
        <v>466</v>
      </c>
      <c r="D140" s="174" t="s">
        <v>475</v>
      </c>
      <c r="E140" s="174" t="s">
        <v>939</v>
      </c>
      <c r="F140" s="174" t="s">
        <v>939</v>
      </c>
    </row>
    <row r="141" spans="2:6" ht="15">
      <c r="B141" s="172">
        <v>225</v>
      </c>
      <c r="D141" s="174" t="s">
        <v>87</v>
      </c>
      <c r="E141" s="174" t="s">
        <v>940</v>
      </c>
      <c r="F141" s="174" t="s">
        <v>940</v>
      </c>
    </row>
    <row r="142" spans="2:6" ht="15">
      <c r="B142" s="172">
        <v>226</v>
      </c>
      <c r="D142" s="174" t="s">
        <v>586</v>
      </c>
      <c r="E142" s="174" t="s">
        <v>941</v>
      </c>
      <c r="F142" s="174" t="s">
        <v>941</v>
      </c>
    </row>
    <row r="143" spans="2:6" ht="15">
      <c r="B143" s="172">
        <v>227</v>
      </c>
      <c r="D143" s="174" t="s">
        <v>361</v>
      </c>
      <c r="E143" s="174" t="s">
        <v>942</v>
      </c>
      <c r="F143" s="174" t="s">
        <v>942</v>
      </c>
    </row>
    <row r="144" spans="2:6" ht="15">
      <c r="B144" s="172">
        <v>228</v>
      </c>
      <c r="D144" s="174" t="s">
        <v>362</v>
      </c>
      <c r="E144" s="174" t="s">
        <v>943</v>
      </c>
      <c r="F144" s="174" t="s">
        <v>943</v>
      </c>
    </row>
    <row r="145" spans="2:6" ht="15">
      <c r="B145" s="172">
        <v>229</v>
      </c>
      <c r="D145" s="174" t="s">
        <v>540</v>
      </c>
      <c r="E145" s="174" t="s">
        <v>944</v>
      </c>
      <c r="F145" s="174" t="s">
        <v>944</v>
      </c>
    </row>
    <row r="146" spans="2:6" ht="15">
      <c r="B146" s="172">
        <v>230</v>
      </c>
      <c r="D146" s="174" t="s">
        <v>539</v>
      </c>
      <c r="E146" s="174" t="s">
        <v>945</v>
      </c>
      <c r="F146" s="174" t="s">
        <v>945</v>
      </c>
    </row>
    <row r="147" spans="2:6" ht="15">
      <c r="B147" s="172">
        <v>231</v>
      </c>
      <c r="D147" s="174" t="s">
        <v>363</v>
      </c>
      <c r="E147" s="174" t="s">
        <v>946</v>
      </c>
      <c r="F147" s="174" t="s">
        <v>946</v>
      </c>
    </row>
    <row r="148" spans="2:6" ht="15">
      <c r="B148" s="172">
        <v>232</v>
      </c>
      <c r="D148" s="174" t="s">
        <v>601</v>
      </c>
      <c r="E148" s="174" t="s">
        <v>947</v>
      </c>
      <c r="F148" s="174" t="s">
        <v>947</v>
      </c>
    </row>
    <row r="149" spans="2:6" ht="15">
      <c r="B149" s="172">
        <v>233</v>
      </c>
      <c r="D149" s="174" t="s">
        <v>364</v>
      </c>
      <c r="E149" s="174" t="s">
        <v>948</v>
      </c>
      <c r="F149" s="174" t="s">
        <v>948</v>
      </c>
    </row>
    <row r="150" spans="2:6" ht="15">
      <c r="B150" s="172">
        <v>234</v>
      </c>
      <c r="D150" s="174" t="s">
        <v>365</v>
      </c>
      <c r="E150" s="174" t="s">
        <v>949</v>
      </c>
      <c r="F150" s="174" t="s">
        <v>949</v>
      </c>
    </row>
    <row r="151" spans="2:6" ht="15">
      <c r="B151" s="172">
        <v>235</v>
      </c>
      <c r="D151" s="174" t="s">
        <v>88</v>
      </c>
      <c r="E151" s="174" t="s">
        <v>950</v>
      </c>
      <c r="F151" s="174" t="s">
        <v>950</v>
      </c>
    </row>
    <row r="152" spans="2:6" ht="15">
      <c r="B152" s="172">
        <v>236</v>
      </c>
      <c r="D152" s="174" t="s">
        <v>366</v>
      </c>
      <c r="E152" s="174" t="s">
        <v>951</v>
      </c>
      <c r="F152" s="174" t="s">
        <v>951</v>
      </c>
    </row>
    <row r="153" spans="2:6" ht="15">
      <c r="B153" s="172">
        <v>237</v>
      </c>
      <c r="D153" s="174" t="s">
        <v>598</v>
      </c>
      <c r="E153" s="174" t="s">
        <v>952</v>
      </c>
      <c r="F153" s="174" t="s">
        <v>952</v>
      </c>
    </row>
    <row r="154" spans="2:6" ht="15">
      <c r="B154" s="172">
        <v>238</v>
      </c>
      <c r="D154" s="174" t="s">
        <v>89</v>
      </c>
      <c r="E154" s="174" t="s">
        <v>953</v>
      </c>
      <c r="F154" s="174" t="s">
        <v>953</v>
      </c>
    </row>
    <row r="155" spans="2:6" ht="15">
      <c r="B155" s="172">
        <v>239</v>
      </c>
      <c r="D155" s="174" t="s">
        <v>90</v>
      </c>
      <c r="E155" s="174" t="s">
        <v>954</v>
      </c>
      <c r="F155" s="174" t="s">
        <v>954</v>
      </c>
    </row>
    <row r="156" spans="2:6" ht="15">
      <c r="B156" s="172">
        <v>240</v>
      </c>
      <c r="D156" s="174" t="s">
        <v>91</v>
      </c>
      <c r="E156" s="174" t="s">
        <v>955</v>
      </c>
      <c r="F156" s="174" t="s">
        <v>955</v>
      </c>
    </row>
    <row r="157" spans="2:6" ht="15">
      <c r="B157" s="172">
        <v>241</v>
      </c>
      <c r="D157" s="174" t="s">
        <v>367</v>
      </c>
      <c r="E157" s="174" t="s">
        <v>956</v>
      </c>
      <c r="F157" s="174" t="s">
        <v>956</v>
      </c>
    </row>
    <row r="158" spans="2:6" ht="15">
      <c r="B158" s="172">
        <v>242</v>
      </c>
      <c r="D158" s="174" t="s">
        <v>368</v>
      </c>
      <c r="E158" s="174" t="s">
        <v>957</v>
      </c>
      <c r="F158" s="174" t="s">
        <v>957</v>
      </c>
    </row>
    <row r="159" spans="2:6" ht="15">
      <c r="B159" s="172">
        <v>243</v>
      </c>
      <c r="D159" s="174" t="s">
        <v>587</v>
      </c>
      <c r="E159" s="174" t="s">
        <v>958</v>
      </c>
      <c r="F159" s="174" t="s">
        <v>958</v>
      </c>
    </row>
    <row r="160" spans="2:6" ht="15">
      <c r="B160" s="172">
        <v>244</v>
      </c>
      <c r="D160" s="174" t="s">
        <v>644</v>
      </c>
      <c r="E160" s="174" t="s">
        <v>959</v>
      </c>
      <c r="F160" s="174" t="s">
        <v>959</v>
      </c>
    </row>
    <row r="161" spans="2:6" ht="15">
      <c r="B161" s="172">
        <v>245</v>
      </c>
      <c r="D161" s="174" t="s">
        <v>645</v>
      </c>
      <c r="E161" s="174" t="s">
        <v>960</v>
      </c>
      <c r="F161" s="174" t="s">
        <v>960</v>
      </c>
    </row>
    <row r="162" spans="2:6" ht="15">
      <c r="B162" s="172">
        <v>246</v>
      </c>
      <c r="D162" s="174" t="s">
        <v>369</v>
      </c>
      <c r="E162" s="174" t="s">
        <v>961</v>
      </c>
      <c r="F162" s="174" t="s">
        <v>961</v>
      </c>
    </row>
    <row r="163" spans="2:6" ht="15">
      <c r="B163" s="172">
        <v>247</v>
      </c>
      <c r="D163" s="174" t="s">
        <v>589</v>
      </c>
      <c r="E163" s="174" t="s">
        <v>962</v>
      </c>
      <c r="F163" s="174" t="s">
        <v>962</v>
      </c>
    </row>
    <row r="164" spans="2:6" ht="15">
      <c r="B164" s="172">
        <v>248</v>
      </c>
      <c r="D164" s="174" t="s">
        <v>370</v>
      </c>
      <c r="E164" s="174" t="s">
        <v>963</v>
      </c>
      <c r="F164" s="174" t="s">
        <v>963</v>
      </c>
    </row>
    <row r="165" spans="2:6" ht="15">
      <c r="B165" s="172">
        <v>249</v>
      </c>
      <c r="D165" s="174" t="s">
        <v>371</v>
      </c>
      <c r="E165" s="174" t="s">
        <v>964</v>
      </c>
      <c r="F165" s="174" t="s">
        <v>964</v>
      </c>
    </row>
    <row r="166" spans="2:6" ht="15">
      <c r="B166" s="172">
        <v>250</v>
      </c>
      <c r="D166" s="174" t="s">
        <v>92</v>
      </c>
      <c r="E166" s="174" t="s">
        <v>965</v>
      </c>
      <c r="F166" s="174" t="s">
        <v>965</v>
      </c>
    </row>
    <row r="167" spans="2:6" ht="15">
      <c r="B167" s="172">
        <v>251</v>
      </c>
      <c r="D167" s="174" t="s">
        <v>93</v>
      </c>
      <c r="E167" s="174" t="s">
        <v>966</v>
      </c>
      <c r="F167" s="174" t="s">
        <v>966</v>
      </c>
    </row>
    <row r="168" spans="2:6" ht="15">
      <c r="B168" s="172">
        <v>252</v>
      </c>
      <c r="D168" s="174" t="s">
        <v>588</v>
      </c>
      <c r="E168" s="174" t="s">
        <v>967</v>
      </c>
      <c r="F168" s="174" t="s">
        <v>967</v>
      </c>
    </row>
    <row r="169" spans="2:6" ht="15">
      <c r="B169" s="172">
        <v>253</v>
      </c>
      <c r="D169" s="174" t="s">
        <v>654</v>
      </c>
      <c r="E169" s="174" t="s">
        <v>968</v>
      </c>
      <c r="F169" s="174" t="s">
        <v>968</v>
      </c>
    </row>
    <row r="170" spans="2:6" ht="15">
      <c r="B170" s="172">
        <v>254</v>
      </c>
      <c r="D170" s="174" t="s">
        <v>94</v>
      </c>
      <c r="E170" s="174" t="s">
        <v>969</v>
      </c>
      <c r="F170" s="174" t="s">
        <v>969</v>
      </c>
    </row>
    <row r="171" spans="2:6" ht="15">
      <c r="B171" s="172">
        <v>255</v>
      </c>
      <c r="C171" s="173" t="s">
        <v>466</v>
      </c>
      <c r="D171" s="174" t="s">
        <v>472</v>
      </c>
      <c r="E171" s="174" t="s">
        <v>970</v>
      </c>
      <c r="F171" s="174" t="s">
        <v>970</v>
      </c>
    </row>
    <row r="172" spans="2:6" ht="15">
      <c r="B172" s="172">
        <v>256</v>
      </c>
      <c r="D172" s="174" t="s">
        <v>95</v>
      </c>
      <c r="E172" s="174" t="s">
        <v>971</v>
      </c>
      <c r="F172" s="174" t="s">
        <v>971</v>
      </c>
    </row>
    <row r="173" spans="2:6" ht="15">
      <c r="B173" s="172">
        <v>257</v>
      </c>
      <c r="D173" s="174" t="s">
        <v>372</v>
      </c>
      <c r="E173" s="174" t="s">
        <v>972</v>
      </c>
      <c r="F173" s="174" t="s">
        <v>972</v>
      </c>
    </row>
    <row r="174" spans="2:6" ht="15">
      <c r="B174" s="172">
        <v>258</v>
      </c>
      <c r="D174" s="174" t="s">
        <v>373</v>
      </c>
      <c r="E174" s="174" t="s">
        <v>973</v>
      </c>
      <c r="F174" s="174" t="s">
        <v>973</v>
      </c>
    </row>
    <row r="175" spans="2:6" ht="15">
      <c r="B175" s="172">
        <v>259</v>
      </c>
      <c r="D175" s="174" t="s">
        <v>374</v>
      </c>
      <c r="E175" s="174" t="s">
        <v>974</v>
      </c>
      <c r="F175" s="174" t="s">
        <v>974</v>
      </c>
    </row>
    <row r="176" spans="2:6" ht="15">
      <c r="B176" s="172">
        <v>260</v>
      </c>
      <c r="D176" s="174" t="s">
        <v>518</v>
      </c>
      <c r="E176" s="174" t="s">
        <v>975</v>
      </c>
      <c r="F176" s="174" t="s">
        <v>975</v>
      </c>
    </row>
    <row r="177" spans="2:6" ht="15">
      <c r="B177" s="172">
        <v>261</v>
      </c>
      <c r="D177" s="174" t="s">
        <v>520</v>
      </c>
      <c r="E177" s="174" t="s">
        <v>976</v>
      </c>
      <c r="F177" s="174" t="s">
        <v>976</v>
      </c>
    </row>
    <row r="178" spans="2:6" ht="26">
      <c r="B178" s="172">
        <v>262</v>
      </c>
      <c r="D178" s="174" t="s">
        <v>521</v>
      </c>
      <c r="E178" s="174" t="s">
        <v>977</v>
      </c>
      <c r="F178" s="174" t="s">
        <v>977</v>
      </c>
    </row>
    <row r="179" spans="2:6" ht="15">
      <c r="B179" s="172">
        <v>263</v>
      </c>
      <c r="D179" s="174" t="s">
        <v>542</v>
      </c>
      <c r="E179" s="174" t="s">
        <v>978</v>
      </c>
      <c r="F179" s="174" t="s">
        <v>978</v>
      </c>
    </row>
    <row r="180" spans="2:6" ht="15">
      <c r="B180" s="172">
        <v>264</v>
      </c>
      <c r="D180" s="174" t="s">
        <v>519</v>
      </c>
      <c r="E180" s="174" t="s">
        <v>979</v>
      </c>
      <c r="F180" s="174" t="s">
        <v>979</v>
      </c>
    </row>
    <row r="181" spans="2:6" ht="15">
      <c r="B181" s="172">
        <v>265</v>
      </c>
      <c r="D181" s="174" t="s">
        <v>523</v>
      </c>
      <c r="E181" s="174" t="s">
        <v>980</v>
      </c>
      <c r="F181" s="174" t="s">
        <v>980</v>
      </c>
    </row>
    <row r="182" spans="2:6" ht="15">
      <c r="B182" s="172">
        <v>266</v>
      </c>
      <c r="D182" s="174" t="s">
        <v>517</v>
      </c>
      <c r="E182" s="174" t="s">
        <v>981</v>
      </c>
      <c r="F182" s="174" t="s">
        <v>981</v>
      </c>
    </row>
    <row r="183" spans="2:6" ht="15">
      <c r="B183" s="172">
        <v>267</v>
      </c>
      <c r="D183" s="174" t="s">
        <v>96</v>
      </c>
      <c r="E183" s="174" t="s">
        <v>982</v>
      </c>
      <c r="F183" s="174" t="s">
        <v>982</v>
      </c>
    </row>
    <row r="184" spans="2:6" ht="15">
      <c r="B184" s="172">
        <v>268</v>
      </c>
      <c r="D184" s="174" t="s">
        <v>608</v>
      </c>
      <c r="E184" s="174" t="s">
        <v>983</v>
      </c>
      <c r="F184" s="174" t="s">
        <v>983</v>
      </c>
    </row>
    <row r="185" spans="2:6" ht="15">
      <c r="B185" s="172">
        <v>269</v>
      </c>
      <c r="D185" s="174" t="s">
        <v>97</v>
      </c>
      <c r="E185" s="174" t="s">
        <v>984</v>
      </c>
      <c r="F185" s="174" t="s">
        <v>984</v>
      </c>
    </row>
    <row r="186" spans="2:6" ht="15">
      <c r="B186" s="172">
        <v>270</v>
      </c>
      <c r="D186" s="174" t="s">
        <v>375</v>
      </c>
      <c r="E186" s="174" t="s">
        <v>985</v>
      </c>
      <c r="F186" s="174" t="s">
        <v>985</v>
      </c>
    </row>
    <row r="187" spans="2:6" ht="26">
      <c r="B187" s="172">
        <v>271</v>
      </c>
      <c r="D187" s="174" t="s">
        <v>98</v>
      </c>
      <c r="E187" s="174" t="s">
        <v>986</v>
      </c>
      <c r="F187" s="174" t="s">
        <v>986</v>
      </c>
    </row>
    <row r="188" spans="2:6" ht="45">
      <c r="B188" s="172">
        <v>272</v>
      </c>
      <c r="D188" s="174" t="s">
        <v>99</v>
      </c>
      <c r="E188" s="174" t="s">
        <v>987</v>
      </c>
      <c r="F188" s="174" t="s">
        <v>987</v>
      </c>
    </row>
    <row r="189" spans="2:6" ht="15">
      <c r="B189" s="172">
        <v>273</v>
      </c>
      <c r="D189" s="174" t="s">
        <v>100</v>
      </c>
      <c r="E189" s="174" t="s">
        <v>988</v>
      </c>
      <c r="F189" s="174" t="s">
        <v>988</v>
      </c>
    </row>
    <row r="190" spans="2:6" ht="15">
      <c r="B190" s="172">
        <v>274</v>
      </c>
      <c r="D190" s="174" t="s">
        <v>101</v>
      </c>
      <c r="E190" s="174" t="s">
        <v>989</v>
      </c>
      <c r="F190" s="174" t="s">
        <v>989</v>
      </c>
    </row>
    <row r="191" spans="2:6" ht="15">
      <c r="B191" s="172">
        <v>275</v>
      </c>
      <c r="D191" s="174" t="s">
        <v>102</v>
      </c>
      <c r="E191" s="174" t="s">
        <v>990</v>
      </c>
      <c r="F191" s="174" t="s">
        <v>990</v>
      </c>
    </row>
    <row r="192" spans="2:6" ht="15">
      <c r="B192" s="172">
        <v>276</v>
      </c>
      <c r="D192" s="174" t="s">
        <v>103</v>
      </c>
      <c r="E192" s="174" t="s">
        <v>991</v>
      </c>
      <c r="F192" s="174" t="s">
        <v>991</v>
      </c>
    </row>
    <row r="193" spans="2:6" ht="15">
      <c r="B193" s="172">
        <v>277</v>
      </c>
      <c r="D193" s="174" t="s">
        <v>104</v>
      </c>
      <c r="E193" s="174" t="s">
        <v>992</v>
      </c>
      <c r="F193" s="174" t="s">
        <v>992</v>
      </c>
    </row>
    <row r="194" spans="2:6" ht="15">
      <c r="B194" s="172">
        <v>278</v>
      </c>
      <c r="D194" s="174" t="s">
        <v>105</v>
      </c>
      <c r="E194" s="174" t="s">
        <v>993</v>
      </c>
      <c r="F194" s="174" t="s">
        <v>993</v>
      </c>
    </row>
    <row r="195" spans="2:6" ht="15">
      <c r="B195" s="172">
        <v>279</v>
      </c>
      <c r="D195" s="174" t="s">
        <v>106</v>
      </c>
      <c r="E195" s="174" t="s">
        <v>994</v>
      </c>
      <c r="F195" s="174" t="s">
        <v>994</v>
      </c>
    </row>
    <row r="196" spans="2:6" ht="15">
      <c r="B196" s="172">
        <v>280</v>
      </c>
      <c r="D196" s="174" t="s">
        <v>107</v>
      </c>
      <c r="E196" s="174" t="s">
        <v>995</v>
      </c>
      <c r="F196" s="174" t="s">
        <v>995</v>
      </c>
    </row>
    <row r="197" spans="2:6" ht="15">
      <c r="B197" s="172">
        <v>281</v>
      </c>
      <c r="D197" s="174" t="s">
        <v>108</v>
      </c>
      <c r="E197" s="174" t="s">
        <v>996</v>
      </c>
      <c r="F197" s="174" t="s">
        <v>996</v>
      </c>
    </row>
    <row r="198" spans="2:6" ht="15">
      <c r="B198" s="172">
        <v>282</v>
      </c>
      <c r="D198" s="174" t="s">
        <v>109</v>
      </c>
      <c r="E198" s="174" t="s">
        <v>997</v>
      </c>
      <c r="F198" s="174" t="s">
        <v>997</v>
      </c>
    </row>
    <row r="199" spans="2:6" ht="15">
      <c r="B199" s="172">
        <v>283</v>
      </c>
      <c r="D199" s="174" t="s">
        <v>110</v>
      </c>
      <c r="E199" s="174" t="s">
        <v>998</v>
      </c>
      <c r="F199" s="174" t="s">
        <v>998</v>
      </c>
    </row>
    <row r="200" spans="2:6" ht="30">
      <c r="B200" s="172">
        <v>284</v>
      </c>
      <c r="D200" s="174" t="s">
        <v>111</v>
      </c>
      <c r="E200" s="174" t="s">
        <v>999</v>
      </c>
      <c r="F200" s="174" t="s">
        <v>999</v>
      </c>
    </row>
    <row r="201" spans="2:6" ht="15">
      <c r="B201" s="172">
        <v>285</v>
      </c>
      <c r="D201" s="174" t="s">
        <v>376</v>
      </c>
      <c r="E201" s="174" t="s">
        <v>1000</v>
      </c>
      <c r="F201" s="174" t="s">
        <v>1000</v>
      </c>
    </row>
    <row r="202" spans="2:6" ht="15">
      <c r="B202" s="172">
        <v>286</v>
      </c>
      <c r="D202" s="174" t="s">
        <v>112</v>
      </c>
      <c r="E202" s="174" t="s">
        <v>1001</v>
      </c>
      <c r="F202" s="174" t="s">
        <v>1001</v>
      </c>
    </row>
    <row r="203" spans="2:6" ht="15">
      <c r="B203" s="172">
        <v>287</v>
      </c>
      <c r="D203" s="174" t="s">
        <v>113</v>
      </c>
      <c r="E203" s="174" t="s">
        <v>1002</v>
      </c>
      <c r="F203" s="174" t="s">
        <v>1002</v>
      </c>
    </row>
    <row r="204" spans="2:6" ht="15">
      <c r="B204" s="172">
        <v>288</v>
      </c>
      <c r="D204" s="174" t="s">
        <v>114</v>
      </c>
      <c r="E204" s="174" t="s">
        <v>1003</v>
      </c>
      <c r="F204" s="174" t="s">
        <v>1003</v>
      </c>
    </row>
    <row r="205" spans="2:6" ht="15">
      <c r="B205" s="172">
        <v>289</v>
      </c>
      <c r="D205" s="174" t="s">
        <v>377</v>
      </c>
      <c r="E205" s="174" t="s">
        <v>1004</v>
      </c>
      <c r="F205" s="174" t="s">
        <v>1004</v>
      </c>
    </row>
    <row r="206" spans="2:6" ht="15">
      <c r="B206" s="172">
        <v>290</v>
      </c>
      <c r="D206" s="174" t="s">
        <v>378</v>
      </c>
      <c r="E206" s="174" t="s">
        <v>1005</v>
      </c>
      <c r="F206" s="174" t="s">
        <v>1005</v>
      </c>
    </row>
    <row r="207" spans="2:6" ht="15">
      <c r="B207" s="172">
        <v>291</v>
      </c>
      <c r="D207" s="174" t="s">
        <v>592</v>
      </c>
      <c r="E207" s="174" t="s">
        <v>1006</v>
      </c>
      <c r="F207" s="174" t="s">
        <v>1006</v>
      </c>
    </row>
    <row r="208" spans="2:6" ht="15">
      <c r="B208" s="172">
        <v>292</v>
      </c>
      <c r="D208" s="174" t="s">
        <v>622</v>
      </c>
      <c r="E208" s="174" t="s">
        <v>1007</v>
      </c>
      <c r="F208" s="174" t="s">
        <v>1007</v>
      </c>
    </row>
    <row r="209" spans="2:6" ht="15">
      <c r="B209" s="172">
        <v>293</v>
      </c>
      <c r="D209" s="174" t="s">
        <v>593</v>
      </c>
      <c r="E209" s="174" t="s">
        <v>1008</v>
      </c>
      <c r="F209" s="174" t="s">
        <v>1008</v>
      </c>
    </row>
    <row r="210" spans="2:6" ht="15">
      <c r="B210" s="172">
        <v>294</v>
      </c>
      <c r="D210" s="174" t="s">
        <v>591</v>
      </c>
      <c r="E210" s="174" t="s">
        <v>1009</v>
      </c>
      <c r="F210" s="174" t="s">
        <v>1009</v>
      </c>
    </row>
    <row r="211" spans="2:6" ht="15">
      <c r="B211" s="172">
        <v>295</v>
      </c>
      <c r="D211" s="174" t="s">
        <v>379</v>
      </c>
      <c r="E211" s="174" t="s">
        <v>1010</v>
      </c>
      <c r="F211" s="174" t="s">
        <v>1010</v>
      </c>
    </row>
    <row r="212" spans="2:6" ht="15">
      <c r="B212" s="172">
        <v>296</v>
      </c>
      <c r="D212" s="174" t="s">
        <v>454</v>
      </c>
      <c r="E212" s="174" t="s">
        <v>1011</v>
      </c>
      <c r="F212" s="174" t="s">
        <v>1011</v>
      </c>
    </row>
    <row r="213" spans="2:6" ht="15">
      <c r="B213" s="172">
        <v>297</v>
      </c>
      <c r="D213" s="174" t="s">
        <v>115</v>
      </c>
      <c r="E213" s="174" t="s">
        <v>1012</v>
      </c>
      <c r="F213" s="174" t="s">
        <v>1012</v>
      </c>
    </row>
    <row r="214" spans="2:6" ht="15">
      <c r="B214" s="172">
        <v>298</v>
      </c>
      <c r="C214" s="173" t="s">
        <v>543</v>
      </c>
      <c r="D214" s="174" t="s">
        <v>579</v>
      </c>
      <c r="E214" s="174" t="s">
        <v>1013</v>
      </c>
      <c r="F214" s="174" t="s">
        <v>1013</v>
      </c>
    </row>
    <row r="215" spans="2:6" ht="15">
      <c r="B215" s="172">
        <v>299</v>
      </c>
      <c r="D215" s="174" t="s">
        <v>600</v>
      </c>
      <c r="E215" s="174" t="s">
        <v>1014</v>
      </c>
      <c r="F215" s="174" t="s">
        <v>1014</v>
      </c>
    </row>
    <row r="216" spans="2:6" ht="15">
      <c r="B216" s="172">
        <v>300</v>
      </c>
      <c r="D216" s="174" t="s">
        <v>448</v>
      </c>
      <c r="E216" s="174" t="s">
        <v>1015</v>
      </c>
      <c r="F216" s="174" t="s">
        <v>1015</v>
      </c>
    </row>
    <row r="217" spans="2:6" ht="15">
      <c r="B217" s="172">
        <v>301</v>
      </c>
      <c r="D217" s="174" t="s">
        <v>487</v>
      </c>
      <c r="E217" s="174" t="s">
        <v>1016</v>
      </c>
      <c r="F217" s="174" t="s">
        <v>1016</v>
      </c>
    </row>
    <row r="218" spans="2:6" ht="14">
      <c r="B218" s="172">
        <v>302</v>
      </c>
      <c r="C218" s="173" t="s">
        <v>543</v>
      </c>
      <c r="D218" s="179" t="s">
        <v>635</v>
      </c>
      <c r="E218" s="179" t="s">
        <v>1017</v>
      </c>
      <c r="F218" s="179" t="s">
        <v>1017</v>
      </c>
    </row>
    <row r="219" spans="2:6" ht="14">
      <c r="B219" s="172">
        <v>303</v>
      </c>
      <c r="C219" s="173" t="s">
        <v>543</v>
      </c>
      <c r="D219" s="179" t="s">
        <v>551</v>
      </c>
      <c r="E219" s="179" t="s">
        <v>1018</v>
      </c>
      <c r="F219" s="179" t="s">
        <v>1018</v>
      </c>
    </row>
    <row r="220" spans="2:6" ht="14">
      <c r="B220" s="172">
        <v>304</v>
      </c>
      <c r="C220" s="173" t="s">
        <v>543</v>
      </c>
      <c r="D220" s="179" t="s">
        <v>637</v>
      </c>
      <c r="E220" s="179" t="s">
        <v>1019</v>
      </c>
      <c r="F220" s="179" t="s">
        <v>1019</v>
      </c>
    </row>
    <row r="221" spans="2:6">
      <c r="B221" s="172">
        <v>305</v>
      </c>
      <c r="C221" s="173" t="s">
        <v>543</v>
      </c>
      <c r="D221" s="179" t="s">
        <v>806</v>
      </c>
      <c r="E221" s="179" t="s">
        <v>807</v>
      </c>
      <c r="F221" s="179" t="s">
        <v>807</v>
      </c>
    </row>
    <row r="222" spans="2:6">
      <c r="B222" s="172">
        <v>306</v>
      </c>
      <c r="C222" s="173" t="s">
        <v>543</v>
      </c>
      <c r="D222" s="179" t="s">
        <v>791</v>
      </c>
      <c r="E222" s="179" t="s">
        <v>636</v>
      </c>
      <c r="F222" s="179" t="s">
        <v>636</v>
      </c>
    </row>
    <row r="223" spans="2:6">
      <c r="B223" s="172">
        <v>307</v>
      </c>
      <c r="C223" s="173" t="s">
        <v>543</v>
      </c>
      <c r="D223" s="179" t="s">
        <v>793</v>
      </c>
      <c r="E223" s="179" t="s">
        <v>631</v>
      </c>
      <c r="F223" s="179" t="s">
        <v>631</v>
      </c>
    </row>
    <row r="224" spans="2:6">
      <c r="B224" s="172">
        <v>308</v>
      </c>
      <c r="C224" s="173" t="s">
        <v>543</v>
      </c>
      <c r="D224" s="179" t="s">
        <v>794</v>
      </c>
      <c r="E224" s="179" t="s">
        <v>632</v>
      </c>
      <c r="F224" s="179" t="s">
        <v>632</v>
      </c>
    </row>
    <row r="225" spans="2:6">
      <c r="B225" s="172">
        <v>309</v>
      </c>
      <c r="C225" s="173" t="s">
        <v>543</v>
      </c>
      <c r="D225" s="179" t="s">
        <v>795</v>
      </c>
      <c r="E225" s="179" t="s">
        <v>633</v>
      </c>
      <c r="F225" s="179" t="s">
        <v>633</v>
      </c>
    </row>
    <row r="226" spans="2:6">
      <c r="B226" s="172">
        <v>310</v>
      </c>
      <c r="C226" s="173" t="s">
        <v>543</v>
      </c>
      <c r="D226" s="179" t="s">
        <v>796</v>
      </c>
      <c r="E226" s="179" t="s">
        <v>634</v>
      </c>
      <c r="F226" s="179" t="s">
        <v>634</v>
      </c>
    </row>
    <row r="227" spans="2:6">
      <c r="B227" s="172">
        <v>311</v>
      </c>
      <c r="C227" s="173" t="s">
        <v>543</v>
      </c>
      <c r="D227" s="179" t="s">
        <v>797</v>
      </c>
      <c r="E227" s="179" t="s">
        <v>638</v>
      </c>
      <c r="F227" s="179" t="s">
        <v>638</v>
      </c>
    </row>
    <row r="228" spans="2:6">
      <c r="B228" s="172">
        <v>312</v>
      </c>
      <c r="C228" s="173" t="s">
        <v>543</v>
      </c>
      <c r="D228" s="179" t="s">
        <v>798</v>
      </c>
      <c r="E228" s="179" t="s">
        <v>639</v>
      </c>
      <c r="F228" s="179" t="s">
        <v>639</v>
      </c>
    </row>
    <row r="229" spans="2:6">
      <c r="B229" s="172">
        <v>313</v>
      </c>
      <c r="C229" s="173" t="s">
        <v>543</v>
      </c>
      <c r="D229" s="179" t="s">
        <v>799</v>
      </c>
      <c r="E229" s="179" t="s">
        <v>640</v>
      </c>
      <c r="F229" s="179" t="s">
        <v>640</v>
      </c>
    </row>
    <row r="230" spans="2:6">
      <c r="B230" s="172">
        <v>314</v>
      </c>
      <c r="C230" s="173" t="s">
        <v>543</v>
      </c>
      <c r="D230" s="179" t="s">
        <v>800</v>
      </c>
      <c r="E230" s="179" t="s">
        <v>641</v>
      </c>
      <c r="F230" s="179" t="s">
        <v>641</v>
      </c>
    </row>
    <row r="231" spans="2:6" ht="13">
      <c r="B231" s="172">
        <v>315</v>
      </c>
      <c r="C231" s="173" t="s">
        <v>543</v>
      </c>
      <c r="D231" s="179" t="s">
        <v>801</v>
      </c>
      <c r="E231" s="174" t="s">
        <v>544</v>
      </c>
      <c r="F231" s="174" t="s">
        <v>544</v>
      </c>
    </row>
    <row r="232" spans="2:6" ht="13">
      <c r="B232" s="172">
        <v>316</v>
      </c>
      <c r="C232" s="173" t="s">
        <v>543</v>
      </c>
      <c r="D232" s="179" t="s">
        <v>802</v>
      </c>
      <c r="E232" s="174" t="s">
        <v>545</v>
      </c>
      <c r="F232" s="174" t="s">
        <v>545</v>
      </c>
    </row>
    <row r="233" spans="2:6" ht="13">
      <c r="B233" s="172">
        <v>317</v>
      </c>
      <c r="C233" s="173" t="s">
        <v>543</v>
      </c>
      <c r="D233" s="179" t="s">
        <v>803</v>
      </c>
      <c r="E233" s="174" t="s">
        <v>546</v>
      </c>
      <c r="F233" s="174" t="s">
        <v>546</v>
      </c>
    </row>
    <row r="234" spans="2:6" ht="13">
      <c r="B234" s="172">
        <v>318</v>
      </c>
      <c r="C234" s="173" t="s">
        <v>543</v>
      </c>
      <c r="D234" s="179" t="s">
        <v>804</v>
      </c>
      <c r="E234" s="174" t="s">
        <v>547</v>
      </c>
      <c r="F234" s="174" t="s">
        <v>547</v>
      </c>
    </row>
    <row r="235" spans="2:6">
      <c r="B235" s="172">
        <v>319</v>
      </c>
      <c r="C235" s="173" t="s">
        <v>543</v>
      </c>
      <c r="D235" s="179" t="s">
        <v>805</v>
      </c>
      <c r="E235" s="179" t="s">
        <v>581</v>
      </c>
      <c r="F235" s="179" t="s">
        <v>581</v>
      </c>
    </row>
    <row r="236" spans="2:6">
      <c r="B236" s="172">
        <v>320</v>
      </c>
      <c r="C236" s="173" t="s">
        <v>543</v>
      </c>
      <c r="D236" s="179" t="s">
        <v>1359</v>
      </c>
      <c r="E236" s="179" t="s">
        <v>1361</v>
      </c>
      <c r="F236" s="179" t="s">
        <v>1361</v>
      </c>
    </row>
    <row r="237" spans="2:6">
      <c r="B237" s="172">
        <v>321</v>
      </c>
      <c r="C237" s="173" t="s">
        <v>543</v>
      </c>
      <c r="D237" s="179" t="s">
        <v>1360</v>
      </c>
      <c r="E237" s="179" t="s">
        <v>1362</v>
      </c>
      <c r="F237" s="179" t="s">
        <v>1362</v>
      </c>
    </row>
    <row r="238" spans="2:6">
      <c r="B238" s="172">
        <v>322</v>
      </c>
      <c r="C238" s="173" t="s">
        <v>543</v>
      </c>
      <c r="D238" s="179"/>
      <c r="E238" s="179"/>
      <c r="F238" s="179"/>
    </row>
    <row r="239" spans="2:6" ht="30">
      <c r="B239" s="172">
        <v>323</v>
      </c>
      <c r="D239" s="174" t="s">
        <v>116</v>
      </c>
      <c r="E239" s="174" t="s">
        <v>1020</v>
      </c>
      <c r="F239" s="174" t="s">
        <v>1020</v>
      </c>
    </row>
    <row r="240" spans="2:6" ht="30">
      <c r="B240" s="172">
        <v>324</v>
      </c>
      <c r="D240" s="174" t="s">
        <v>117</v>
      </c>
      <c r="E240" s="174" t="s">
        <v>1021</v>
      </c>
      <c r="F240" s="174" t="s">
        <v>1021</v>
      </c>
    </row>
    <row r="241" spans="2:6" ht="30">
      <c r="B241" s="172">
        <v>325</v>
      </c>
      <c r="D241" s="174" t="s">
        <v>118</v>
      </c>
      <c r="E241" s="174" t="s">
        <v>1022</v>
      </c>
      <c r="F241" s="174" t="s">
        <v>1022</v>
      </c>
    </row>
    <row r="242" spans="2:6" ht="26">
      <c r="B242" s="172">
        <v>326</v>
      </c>
      <c r="C242" s="173" t="s">
        <v>543</v>
      </c>
      <c r="D242" s="174" t="s">
        <v>580</v>
      </c>
      <c r="E242" s="174" t="s">
        <v>1023</v>
      </c>
      <c r="F242" s="174" t="s">
        <v>1023</v>
      </c>
    </row>
    <row r="243" spans="2:6" ht="15">
      <c r="B243" s="172">
        <v>327</v>
      </c>
      <c r="D243" s="174" t="s">
        <v>119</v>
      </c>
      <c r="E243" s="174" t="s">
        <v>1024</v>
      </c>
      <c r="F243" s="174" t="s">
        <v>1024</v>
      </c>
    </row>
    <row r="244" spans="2:6" ht="15">
      <c r="B244" s="172">
        <v>328</v>
      </c>
      <c r="C244" s="173" t="s">
        <v>466</v>
      </c>
      <c r="D244" s="174" t="s">
        <v>476</v>
      </c>
      <c r="E244" s="174" t="s">
        <v>1025</v>
      </c>
      <c r="F244" s="174" t="s">
        <v>1025</v>
      </c>
    </row>
    <row r="245" spans="2:6" ht="15">
      <c r="B245" s="172">
        <v>329</v>
      </c>
      <c r="D245" s="174" t="s">
        <v>120</v>
      </c>
      <c r="E245" s="174" t="s">
        <v>1026</v>
      </c>
      <c r="F245" s="174" t="s">
        <v>1026</v>
      </c>
    </row>
    <row r="246" spans="2:6" ht="15">
      <c r="B246" s="172">
        <v>330</v>
      </c>
      <c r="D246" s="174" t="s">
        <v>121</v>
      </c>
      <c r="E246" s="174" t="s">
        <v>1027</v>
      </c>
      <c r="F246" s="174" t="s">
        <v>1027</v>
      </c>
    </row>
    <row r="247" spans="2:6" ht="15">
      <c r="B247" s="172">
        <v>331</v>
      </c>
      <c r="D247" s="174" t="s">
        <v>122</v>
      </c>
      <c r="E247" s="174" t="s">
        <v>1028</v>
      </c>
      <c r="F247" s="174" t="s">
        <v>1028</v>
      </c>
    </row>
    <row r="248" spans="2:6" ht="14">
      <c r="B248" s="172">
        <v>332</v>
      </c>
      <c r="C248" s="173" t="s">
        <v>466</v>
      </c>
      <c r="D248" s="171" t="s">
        <v>468</v>
      </c>
      <c r="E248" s="179" t="s">
        <v>1029</v>
      </c>
      <c r="F248" s="179" t="s">
        <v>1029</v>
      </c>
    </row>
    <row r="249" spans="2:6" ht="14">
      <c r="B249" s="172">
        <v>333</v>
      </c>
      <c r="C249" s="173" t="s">
        <v>466</v>
      </c>
      <c r="D249" s="171" t="s">
        <v>469</v>
      </c>
      <c r="E249" s="179" t="s">
        <v>1030</v>
      </c>
      <c r="F249" s="179" t="s">
        <v>1030</v>
      </c>
    </row>
    <row r="250" spans="2:6" ht="15">
      <c r="B250" s="172">
        <v>334</v>
      </c>
      <c r="D250" s="174" t="s">
        <v>123</v>
      </c>
      <c r="E250" s="174" t="s">
        <v>1031</v>
      </c>
      <c r="F250" s="174" t="s">
        <v>1031</v>
      </c>
    </row>
    <row r="251" spans="2:6" ht="15">
      <c r="B251" s="172">
        <v>335</v>
      </c>
      <c r="C251" s="173" t="s">
        <v>466</v>
      </c>
      <c r="D251" s="174" t="s">
        <v>474</v>
      </c>
      <c r="E251" s="174" t="s">
        <v>1032</v>
      </c>
      <c r="F251" s="174" t="s">
        <v>1032</v>
      </c>
    </row>
    <row r="252" spans="2:6" ht="14">
      <c r="B252" s="172">
        <v>336</v>
      </c>
      <c r="C252" s="173" t="s">
        <v>466</v>
      </c>
      <c r="D252" s="171" t="s">
        <v>477</v>
      </c>
      <c r="E252" s="179" t="s">
        <v>1033</v>
      </c>
      <c r="F252" s="179" t="s">
        <v>1033</v>
      </c>
    </row>
    <row r="253" spans="2:6" ht="30">
      <c r="B253" s="172">
        <v>337</v>
      </c>
      <c r="D253" s="174" t="s">
        <v>124</v>
      </c>
      <c r="E253" s="174" t="s">
        <v>1034</v>
      </c>
      <c r="F253" s="174" t="s">
        <v>1034</v>
      </c>
    </row>
    <row r="254" spans="2:6" ht="30">
      <c r="B254" s="172">
        <v>338</v>
      </c>
      <c r="D254" s="174" t="s">
        <v>125</v>
      </c>
      <c r="E254" s="174" t="s">
        <v>1035</v>
      </c>
      <c r="F254" s="174" t="s">
        <v>1035</v>
      </c>
    </row>
    <row r="255" spans="2:6" ht="15">
      <c r="B255" s="172">
        <v>339</v>
      </c>
      <c r="D255" s="174" t="s">
        <v>126</v>
      </c>
      <c r="E255" s="174" t="s">
        <v>1036</v>
      </c>
      <c r="F255" s="174" t="s">
        <v>1036</v>
      </c>
    </row>
    <row r="256" spans="2:6" ht="15">
      <c r="B256" s="172">
        <v>340</v>
      </c>
      <c r="D256" s="174" t="s">
        <v>127</v>
      </c>
      <c r="E256" s="174" t="s">
        <v>1037</v>
      </c>
      <c r="F256" s="174" t="s">
        <v>1037</v>
      </c>
    </row>
    <row r="257" spans="2:6" ht="15">
      <c r="B257" s="172">
        <v>341</v>
      </c>
      <c r="D257" s="174" t="s">
        <v>128</v>
      </c>
      <c r="E257" s="174" t="s">
        <v>1038</v>
      </c>
      <c r="F257" s="174" t="s">
        <v>1038</v>
      </c>
    </row>
    <row r="258" spans="2:6" ht="15">
      <c r="B258" s="172">
        <v>342</v>
      </c>
      <c r="D258" s="174" t="s">
        <v>129</v>
      </c>
      <c r="E258" s="174" t="s">
        <v>1039</v>
      </c>
      <c r="F258" s="174" t="s">
        <v>1039</v>
      </c>
    </row>
    <row r="259" spans="2:6" ht="15">
      <c r="B259" s="172">
        <v>343</v>
      </c>
      <c r="C259" s="173" t="s">
        <v>543</v>
      </c>
      <c r="D259" s="174" t="s">
        <v>565</v>
      </c>
      <c r="E259" s="174" t="s">
        <v>1040</v>
      </c>
      <c r="F259" s="174" t="s">
        <v>1040</v>
      </c>
    </row>
    <row r="260" spans="2:6" ht="15">
      <c r="B260" s="172">
        <v>344</v>
      </c>
      <c r="C260" s="173" t="s">
        <v>543</v>
      </c>
      <c r="D260" s="174" t="s">
        <v>567</v>
      </c>
      <c r="E260" s="174" t="s">
        <v>1041</v>
      </c>
      <c r="F260" s="174" t="s">
        <v>1041</v>
      </c>
    </row>
    <row r="261" spans="2:6" ht="15">
      <c r="B261" s="172">
        <v>345</v>
      </c>
      <c r="D261" s="174" t="s">
        <v>130</v>
      </c>
      <c r="E261" s="174" t="s">
        <v>1042</v>
      </c>
      <c r="F261" s="174" t="s">
        <v>1042</v>
      </c>
    </row>
    <row r="262" spans="2:6" ht="30">
      <c r="B262" s="172">
        <v>346</v>
      </c>
      <c r="C262" s="173" t="s">
        <v>543</v>
      </c>
      <c r="D262" s="174" t="s">
        <v>575</v>
      </c>
      <c r="E262" s="174" t="s">
        <v>1043</v>
      </c>
      <c r="F262" s="174" t="s">
        <v>1043</v>
      </c>
    </row>
    <row r="263" spans="2:6" ht="15">
      <c r="B263" s="172">
        <v>347</v>
      </c>
      <c r="D263" s="174" t="s">
        <v>380</v>
      </c>
      <c r="E263" s="174" t="s">
        <v>1044</v>
      </c>
      <c r="F263" s="174" t="s">
        <v>1044</v>
      </c>
    </row>
    <row r="264" spans="2:6" ht="15">
      <c r="B264" s="172">
        <v>348</v>
      </c>
      <c r="D264" s="174" t="s">
        <v>131</v>
      </c>
      <c r="E264" s="174" t="s">
        <v>1045</v>
      </c>
      <c r="F264" s="174" t="s">
        <v>1045</v>
      </c>
    </row>
    <row r="265" spans="2:6" ht="15">
      <c r="B265" s="172">
        <v>349</v>
      </c>
      <c r="D265" s="174" t="s">
        <v>381</v>
      </c>
      <c r="E265" s="174" t="s">
        <v>1046</v>
      </c>
      <c r="F265" s="174" t="s">
        <v>1046</v>
      </c>
    </row>
    <row r="266" spans="2:6" ht="15">
      <c r="B266" s="172">
        <v>350</v>
      </c>
      <c r="C266" s="173" t="s">
        <v>543</v>
      </c>
      <c r="D266" s="174" t="s">
        <v>566</v>
      </c>
      <c r="E266" s="174" t="s">
        <v>1047</v>
      </c>
      <c r="F266" s="174" t="s">
        <v>1047</v>
      </c>
    </row>
    <row r="267" spans="2:6" ht="14">
      <c r="B267" s="172">
        <v>351</v>
      </c>
      <c r="C267" s="173" t="s">
        <v>466</v>
      </c>
      <c r="D267" s="171" t="s">
        <v>467</v>
      </c>
      <c r="E267" s="179" t="s">
        <v>1048</v>
      </c>
      <c r="F267" s="179" t="s">
        <v>1048</v>
      </c>
    </row>
    <row r="268" spans="2:6" ht="26">
      <c r="B268" s="172">
        <v>352</v>
      </c>
      <c r="C268" s="173" t="s">
        <v>543</v>
      </c>
      <c r="D268" s="174" t="s">
        <v>558</v>
      </c>
      <c r="E268" s="174" t="s">
        <v>1049</v>
      </c>
      <c r="F268" s="174" t="s">
        <v>1049</v>
      </c>
    </row>
    <row r="269" spans="2:6" ht="26">
      <c r="B269" s="172">
        <v>353</v>
      </c>
      <c r="D269" s="174" t="s">
        <v>132</v>
      </c>
      <c r="F269" s="174"/>
    </row>
    <row r="270" spans="2:6" ht="15">
      <c r="B270" s="172">
        <v>354</v>
      </c>
      <c r="D270" s="174" t="s">
        <v>133</v>
      </c>
      <c r="E270" s="174" t="s">
        <v>1050</v>
      </c>
      <c r="F270" s="174" t="s">
        <v>1050</v>
      </c>
    </row>
    <row r="271" spans="2:6" ht="15">
      <c r="B271" s="172">
        <v>355</v>
      </c>
      <c r="D271" s="174" t="s">
        <v>134</v>
      </c>
      <c r="E271" s="174" t="s">
        <v>1051</v>
      </c>
      <c r="F271" s="174" t="s">
        <v>1051</v>
      </c>
    </row>
    <row r="272" spans="2:6" ht="15">
      <c r="B272" s="172">
        <v>356</v>
      </c>
      <c r="D272" s="174" t="s">
        <v>135</v>
      </c>
      <c r="E272" s="174" t="s">
        <v>1052</v>
      </c>
      <c r="F272" s="174" t="s">
        <v>1052</v>
      </c>
    </row>
    <row r="273" spans="2:6" ht="15">
      <c r="B273" s="172">
        <v>357</v>
      </c>
      <c r="C273" s="173" t="s">
        <v>543</v>
      </c>
      <c r="D273" s="174" t="s">
        <v>561</v>
      </c>
      <c r="E273" s="174" t="s">
        <v>1053</v>
      </c>
      <c r="F273" s="174" t="s">
        <v>1053</v>
      </c>
    </row>
    <row r="274" spans="2:6" ht="15">
      <c r="B274" s="172">
        <v>358</v>
      </c>
      <c r="D274" s="174" t="s">
        <v>136</v>
      </c>
      <c r="E274" s="174" t="s">
        <v>1054</v>
      </c>
      <c r="F274" s="174" t="s">
        <v>1054</v>
      </c>
    </row>
    <row r="275" spans="2:6" ht="15">
      <c r="B275" s="172">
        <v>359</v>
      </c>
      <c r="D275" s="174" t="s">
        <v>382</v>
      </c>
      <c r="E275" s="174" t="s">
        <v>1055</v>
      </c>
      <c r="F275" s="174" t="s">
        <v>1055</v>
      </c>
    </row>
    <row r="276" spans="2:6" ht="15">
      <c r="B276" s="172">
        <v>360</v>
      </c>
      <c r="D276" s="174" t="s">
        <v>137</v>
      </c>
      <c r="E276" s="174" t="s">
        <v>1056</v>
      </c>
      <c r="F276" s="174" t="s">
        <v>1056</v>
      </c>
    </row>
    <row r="277" spans="2:6" ht="30">
      <c r="B277" s="172">
        <v>361</v>
      </c>
      <c r="C277" s="173" t="s">
        <v>543</v>
      </c>
      <c r="D277" s="174" t="s">
        <v>557</v>
      </c>
      <c r="E277" s="174" t="s">
        <v>1057</v>
      </c>
      <c r="F277" s="174" t="s">
        <v>1057</v>
      </c>
    </row>
    <row r="278" spans="2:6" ht="45">
      <c r="B278" s="172">
        <v>362</v>
      </c>
      <c r="C278" s="173" t="s">
        <v>543</v>
      </c>
      <c r="D278" s="174" t="s">
        <v>572</v>
      </c>
      <c r="E278" s="174" t="s">
        <v>1058</v>
      </c>
      <c r="F278" s="174" t="s">
        <v>1058</v>
      </c>
    </row>
    <row r="279" spans="2:6" ht="15">
      <c r="B279" s="172">
        <v>363</v>
      </c>
      <c r="D279" s="174" t="s">
        <v>138</v>
      </c>
      <c r="E279" s="174" t="s">
        <v>1059</v>
      </c>
      <c r="F279" s="174" t="s">
        <v>1059</v>
      </c>
    </row>
    <row r="280" spans="2:6" ht="13">
      <c r="B280" s="172">
        <v>364</v>
      </c>
      <c r="D280" s="174" t="s">
        <v>1</v>
      </c>
      <c r="E280" s="174" t="s">
        <v>1</v>
      </c>
      <c r="F280" s="174" t="s">
        <v>1</v>
      </c>
    </row>
    <row r="281" spans="2:6" ht="13">
      <c r="B281" s="172">
        <v>365</v>
      </c>
      <c r="D281" s="174" t="s">
        <v>2</v>
      </c>
      <c r="E281" s="174" t="s">
        <v>2</v>
      </c>
      <c r="F281" s="174" t="s">
        <v>2</v>
      </c>
    </row>
    <row r="282" spans="2:6" ht="15">
      <c r="B282" s="172">
        <v>366</v>
      </c>
      <c r="D282" s="174" t="s">
        <v>455</v>
      </c>
      <c r="E282" s="174" t="s">
        <v>1060</v>
      </c>
      <c r="F282" s="174" t="s">
        <v>1060</v>
      </c>
    </row>
    <row r="283" spans="2:6" ht="13">
      <c r="B283" s="172">
        <v>367</v>
      </c>
      <c r="D283" s="174" t="s">
        <v>139</v>
      </c>
      <c r="E283" s="174" t="s">
        <v>140</v>
      </c>
      <c r="F283" s="174" t="s">
        <v>140</v>
      </c>
    </row>
    <row r="284" spans="2:6" ht="15">
      <c r="B284" s="172">
        <v>368</v>
      </c>
      <c r="D284" s="174" t="s">
        <v>609</v>
      </c>
      <c r="E284" s="174" t="s">
        <v>1061</v>
      </c>
      <c r="F284" s="174" t="s">
        <v>1061</v>
      </c>
    </row>
    <row r="285" spans="2:6" ht="13">
      <c r="B285" s="172">
        <v>369</v>
      </c>
      <c r="D285" s="174" t="s">
        <v>141</v>
      </c>
      <c r="E285" s="174" t="s">
        <v>439</v>
      </c>
      <c r="F285" s="174" t="s">
        <v>439</v>
      </c>
    </row>
    <row r="286" spans="2:6" ht="15">
      <c r="B286" s="172">
        <v>370</v>
      </c>
      <c r="D286" s="174" t="s">
        <v>142</v>
      </c>
      <c r="E286" s="174" t="s">
        <v>1062</v>
      </c>
      <c r="F286" s="174" t="s">
        <v>1062</v>
      </c>
    </row>
    <row r="287" spans="2:6" ht="15">
      <c r="B287" s="172">
        <v>371</v>
      </c>
      <c r="D287" s="174" t="s">
        <v>143</v>
      </c>
      <c r="E287" s="174" t="s">
        <v>1063</v>
      </c>
      <c r="F287" s="174" t="s">
        <v>1063</v>
      </c>
    </row>
    <row r="288" spans="2:6" ht="15">
      <c r="B288" s="172">
        <v>372</v>
      </c>
      <c r="D288" s="174" t="s">
        <v>383</v>
      </c>
      <c r="E288" s="174" t="s">
        <v>1064</v>
      </c>
      <c r="F288" s="174" t="s">
        <v>1064</v>
      </c>
    </row>
    <row r="289" spans="2:6" ht="15">
      <c r="B289" s="172">
        <v>373</v>
      </c>
      <c r="D289" s="174" t="s">
        <v>384</v>
      </c>
      <c r="E289" s="174" t="s">
        <v>1065</v>
      </c>
      <c r="F289" s="174" t="s">
        <v>1065</v>
      </c>
    </row>
    <row r="290" spans="2:6" ht="15">
      <c r="B290" s="172">
        <v>374</v>
      </c>
      <c r="D290" s="174" t="s">
        <v>385</v>
      </c>
      <c r="E290" s="174" t="s">
        <v>1064</v>
      </c>
      <c r="F290" s="174" t="s">
        <v>1064</v>
      </c>
    </row>
    <row r="291" spans="2:6" ht="15">
      <c r="B291" s="172">
        <v>375</v>
      </c>
      <c r="C291" s="173" t="s">
        <v>543</v>
      </c>
      <c r="D291" s="174" t="s">
        <v>549</v>
      </c>
      <c r="E291" s="174" t="s">
        <v>1066</v>
      </c>
      <c r="F291" s="174" t="s">
        <v>1066</v>
      </c>
    </row>
    <row r="292" spans="2:6" ht="15">
      <c r="B292" s="172">
        <v>376</v>
      </c>
      <c r="D292" s="174" t="s">
        <v>144</v>
      </c>
      <c r="E292" s="174" t="s">
        <v>1067</v>
      </c>
      <c r="F292" s="174" t="s">
        <v>1067</v>
      </c>
    </row>
    <row r="293" spans="2:6" ht="15">
      <c r="B293" s="172">
        <v>377</v>
      </c>
      <c r="D293" s="174" t="s">
        <v>386</v>
      </c>
      <c r="E293" s="174" t="s">
        <v>1068</v>
      </c>
      <c r="F293" s="174" t="s">
        <v>1068</v>
      </c>
    </row>
    <row r="294" spans="2:6" ht="15">
      <c r="B294" s="172">
        <v>378</v>
      </c>
      <c r="D294" s="174" t="s">
        <v>145</v>
      </c>
      <c r="E294" s="174" t="s">
        <v>1069</v>
      </c>
      <c r="F294" s="174" t="s">
        <v>1069</v>
      </c>
    </row>
    <row r="295" spans="2:6" ht="14">
      <c r="B295" s="172">
        <v>379</v>
      </c>
      <c r="C295" s="173" t="s">
        <v>466</v>
      </c>
      <c r="D295" s="171" t="s">
        <v>478</v>
      </c>
      <c r="E295" s="179" t="s">
        <v>1070</v>
      </c>
      <c r="F295" s="179" t="s">
        <v>1070</v>
      </c>
    </row>
    <row r="296" spans="2:6" ht="15">
      <c r="B296" s="172">
        <v>380</v>
      </c>
      <c r="D296" s="174" t="s">
        <v>415</v>
      </c>
      <c r="E296" s="174" t="s">
        <v>1071</v>
      </c>
      <c r="F296" s="174" t="s">
        <v>1071</v>
      </c>
    </row>
    <row r="297" spans="2:6" ht="15">
      <c r="B297" s="172">
        <v>381</v>
      </c>
      <c r="D297" s="174" t="s">
        <v>416</v>
      </c>
      <c r="E297" s="174" t="s">
        <v>1072</v>
      </c>
      <c r="F297" s="174" t="s">
        <v>1072</v>
      </c>
    </row>
    <row r="298" spans="2:6" ht="15">
      <c r="B298" s="172">
        <v>382</v>
      </c>
      <c r="C298" s="173" t="s">
        <v>484</v>
      </c>
      <c r="D298" s="174" t="s">
        <v>485</v>
      </c>
      <c r="E298" s="174" t="s">
        <v>1073</v>
      </c>
      <c r="F298" s="174" t="s">
        <v>1073</v>
      </c>
    </row>
    <row r="299" spans="2:6" ht="15">
      <c r="B299" s="172">
        <v>383</v>
      </c>
      <c r="D299" s="174" t="s">
        <v>146</v>
      </c>
      <c r="E299" s="174" t="s">
        <v>1074</v>
      </c>
      <c r="F299" s="174" t="s">
        <v>1074</v>
      </c>
    </row>
    <row r="300" spans="2:6" ht="15">
      <c r="B300" s="172">
        <v>384</v>
      </c>
      <c r="D300" s="174" t="s">
        <v>387</v>
      </c>
      <c r="E300" s="174" t="s">
        <v>1075</v>
      </c>
      <c r="F300" s="174" t="s">
        <v>1075</v>
      </c>
    </row>
    <row r="301" spans="2:6" ht="15">
      <c r="B301" s="172">
        <v>385</v>
      </c>
      <c r="D301" s="174" t="s">
        <v>147</v>
      </c>
      <c r="E301" s="174" t="s">
        <v>1076</v>
      </c>
      <c r="F301" s="174" t="s">
        <v>1076</v>
      </c>
    </row>
    <row r="302" spans="2:6" ht="15">
      <c r="B302" s="172">
        <v>386</v>
      </c>
      <c r="D302" s="174" t="s">
        <v>148</v>
      </c>
      <c r="E302" s="174" t="s">
        <v>1077</v>
      </c>
      <c r="F302" s="174" t="s">
        <v>1077</v>
      </c>
    </row>
    <row r="303" spans="2:6" ht="15">
      <c r="B303" s="172">
        <v>387</v>
      </c>
      <c r="D303" s="174" t="s">
        <v>149</v>
      </c>
      <c r="E303" s="174" t="s">
        <v>1078</v>
      </c>
      <c r="F303" s="174" t="s">
        <v>1078</v>
      </c>
    </row>
    <row r="304" spans="2:6" ht="15">
      <c r="B304" s="172">
        <v>388</v>
      </c>
      <c r="D304" s="174" t="s">
        <v>473</v>
      </c>
      <c r="E304" s="174" t="s">
        <v>1079</v>
      </c>
      <c r="F304" s="174" t="s">
        <v>1079</v>
      </c>
    </row>
    <row r="305" spans="2:6" ht="26">
      <c r="B305" s="172">
        <v>389</v>
      </c>
      <c r="D305" s="174" t="s">
        <v>150</v>
      </c>
      <c r="E305" s="174" t="s">
        <v>1080</v>
      </c>
      <c r="F305" s="174" t="s">
        <v>1080</v>
      </c>
    </row>
    <row r="306" spans="2:6" ht="15">
      <c r="B306" s="172">
        <v>390</v>
      </c>
      <c r="D306" s="174" t="s">
        <v>619</v>
      </c>
      <c r="E306" s="174" t="s">
        <v>1081</v>
      </c>
      <c r="F306" s="174" t="s">
        <v>1081</v>
      </c>
    </row>
    <row r="307" spans="2:6" ht="30">
      <c r="B307" s="172">
        <v>391</v>
      </c>
      <c r="D307" s="174" t="s">
        <v>417</v>
      </c>
      <c r="E307" s="174" t="s">
        <v>1082</v>
      </c>
      <c r="F307" s="174" t="s">
        <v>1082</v>
      </c>
    </row>
    <row r="308" spans="2:6" ht="15">
      <c r="B308" s="172">
        <v>392</v>
      </c>
      <c r="D308" s="174" t="s">
        <v>418</v>
      </c>
      <c r="E308" s="174" t="s">
        <v>1083</v>
      </c>
      <c r="F308" s="174" t="s">
        <v>1083</v>
      </c>
    </row>
    <row r="309" spans="2:6" ht="15">
      <c r="B309" s="172">
        <v>393</v>
      </c>
      <c r="D309" s="174" t="s">
        <v>388</v>
      </c>
      <c r="E309" s="174" t="s">
        <v>1084</v>
      </c>
      <c r="F309" s="174" t="s">
        <v>1084</v>
      </c>
    </row>
    <row r="310" spans="2:6" ht="15">
      <c r="B310" s="172">
        <v>394</v>
      </c>
      <c r="D310" s="174" t="s">
        <v>151</v>
      </c>
      <c r="E310" s="174" t="s">
        <v>1085</v>
      </c>
      <c r="F310" s="174" t="s">
        <v>1085</v>
      </c>
    </row>
    <row r="311" spans="2:6" ht="15">
      <c r="B311" s="172">
        <v>395</v>
      </c>
      <c r="D311" s="174" t="s">
        <v>389</v>
      </c>
      <c r="E311" s="174" t="s">
        <v>1086</v>
      </c>
      <c r="F311" s="174" t="s">
        <v>1086</v>
      </c>
    </row>
    <row r="312" spans="2:6" ht="15">
      <c r="B312" s="172">
        <v>396</v>
      </c>
      <c r="D312" s="174" t="s">
        <v>390</v>
      </c>
      <c r="E312" s="174" t="s">
        <v>1087</v>
      </c>
      <c r="F312" s="174" t="s">
        <v>1087</v>
      </c>
    </row>
    <row r="313" spans="2:6" ht="15">
      <c r="B313" s="172">
        <v>397</v>
      </c>
      <c r="D313" s="174" t="s">
        <v>152</v>
      </c>
      <c r="E313" s="174" t="s">
        <v>1088</v>
      </c>
      <c r="F313" s="174" t="s">
        <v>1088</v>
      </c>
    </row>
    <row r="314" spans="2:6" ht="15">
      <c r="B314" s="172">
        <v>398</v>
      </c>
      <c r="D314" s="174" t="s">
        <v>153</v>
      </c>
      <c r="E314" s="174" t="s">
        <v>1089</v>
      </c>
      <c r="F314" s="174" t="s">
        <v>1089</v>
      </c>
    </row>
    <row r="315" spans="2:6" ht="15">
      <c r="B315" s="172">
        <v>399</v>
      </c>
      <c r="D315" s="174" t="s">
        <v>391</v>
      </c>
      <c r="E315" s="174" t="s">
        <v>1090</v>
      </c>
      <c r="F315" s="174" t="s">
        <v>1090</v>
      </c>
    </row>
    <row r="316" spans="2:6" ht="15">
      <c r="B316" s="172">
        <v>400</v>
      </c>
      <c r="D316" s="174" t="s">
        <v>154</v>
      </c>
      <c r="E316" s="174" t="s">
        <v>1091</v>
      </c>
      <c r="F316" s="174" t="s">
        <v>1091</v>
      </c>
    </row>
    <row r="317" spans="2:6" ht="15">
      <c r="B317" s="172">
        <v>401</v>
      </c>
      <c r="C317" s="173" t="s">
        <v>432</v>
      </c>
      <c r="D317" s="174" t="s">
        <v>440</v>
      </c>
      <c r="E317" s="174" t="s">
        <v>1092</v>
      </c>
      <c r="F317" s="174" t="s">
        <v>1092</v>
      </c>
    </row>
    <row r="318" spans="2:6" ht="14">
      <c r="B318" s="172">
        <v>402</v>
      </c>
      <c r="C318" s="173" t="s">
        <v>466</v>
      </c>
      <c r="D318" s="171" t="s">
        <v>465</v>
      </c>
      <c r="E318" s="179" t="s">
        <v>1093</v>
      </c>
      <c r="F318" s="179" t="s">
        <v>1093</v>
      </c>
    </row>
    <row r="319" spans="2:6" ht="15">
      <c r="B319" s="172">
        <v>403</v>
      </c>
      <c r="D319" s="174" t="s">
        <v>155</v>
      </c>
      <c r="E319" s="174" t="s">
        <v>1094</v>
      </c>
      <c r="F319" s="174" t="s">
        <v>1094</v>
      </c>
    </row>
    <row r="320" spans="2:6" ht="15">
      <c r="B320" s="172">
        <v>404</v>
      </c>
      <c r="D320" s="174" t="s">
        <v>156</v>
      </c>
      <c r="E320" s="174" t="s">
        <v>1095</v>
      </c>
      <c r="F320" s="174" t="s">
        <v>1095</v>
      </c>
    </row>
    <row r="321" spans="1:6" ht="15">
      <c r="B321" s="172">
        <v>405</v>
      </c>
      <c r="D321" s="174" t="s">
        <v>157</v>
      </c>
      <c r="E321" s="174" t="s">
        <v>1096</v>
      </c>
      <c r="F321" s="174" t="s">
        <v>1096</v>
      </c>
    </row>
    <row r="322" spans="1:6" ht="15">
      <c r="B322" s="172">
        <v>406</v>
      </c>
      <c r="D322" s="174" t="s">
        <v>158</v>
      </c>
      <c r="E322" s="174" t="s">
        <v>1097</v>
      </c>
      <c r="F322" s="174" t="s">
        <v>1097</v>
      </c>
    </row>
    <row r="323" spans="1:6" ht="14">
      <c r="B323" s="172">
        <v>407</v>
      </c>
      <c r="C323" s="173" t="s">
        <v>466</v>
      </c>
      <c r="D323" s="171" t="s">
        <v>462</v>
      </c>
      <c r="E323" s="179" t="s">
        <v>1098</v>
      </c>
      <c r="F323" s="179" t="s">
        <v>1098</v>
      </c>
    </row>
    <row r="324" spans="1:6" ht="15">
      <c r="B324" s="172">
        <v>408</v>
      </c>
      <c r="D324" s="174" t="s">
        <v>159</v>
      </c>
      <c r="E324" s="174" t="s">
        <v>1099</v>
      </c>
      <c r="F324" s="174" t="s">
        <v>1099</v>
      </c>
    </row>
    <row r="325" spans="1:6" ht="14">
      <c r="B325" s="172">
        <v>409</v>
      </c>
      <c r="C325" s="173" t="s">
        <v>466</v>
      </c>
      <c r="D325" s="174" t="s">
        <v>460</v>
      </c>
      <c r="E325" s="179" t="s">
        <v>1100</v>
      </c>
      <c r="F325" s="179" t="s">
        <v>1100</v>
      </c>
    </row>
    <row r="326" spans="1:6" ht="15">
      <c r="B326" s="172">
        <v>410</v>
      </c>
      <c r="D326" s="174" t="s">
        <v>160</v>
      </c>
      <c r="E326" s="174" t="s">
        <v>1101</v>
      </c>
      <c r="F326" s="174" t="s">
        <v>1101</v>
      </c>
    </row>
    <row r="327" spans="1:6" ht="45">
      <c r="B327" s="172">
        <v>411</v>
      </c>
      <c r="D327" s="174" t="s">
        <v>161</v>
      </c>
      <c r="E327" s="174" t="s">
        <v>1102</v>
      </c>
      <c r="F327" s="174" t="s">
        <v>1102</v>
      </c>
    </row>
    <row r="328" spans="1:6" ht="15">
      <c r="B328" s="172">
        <v>412</v>
      </c>
      <c r="D328" s="174" t="s">
        <v>162</v>
      </c>
      <c r="E328" s="174" t="s">
        <v>1103</v>
      </c>
      <c r="F328" s="174" t="s">
        <v>1103</v>
      </c>
    </row>
    <row r="329" spans="1:6" ht="15">
      <c r="B329" s="172">
        <v>413</v>
      </c>
      <c r="D329" s="174" t="s">
        <v>506</v>
      </c>
      <c r="E329" s="174" t="s">
        <v>1104</v>
      </c>
      <c r="F329" s="174" t="s">
        <v>1104</v>
      </c>
    </row>
    <row r="330" spans="1:6" ht="30">
      <c r="B330" s="172">
        <v>414</v>
      </c>
      <c r="D330" s="174" t="s">
        <v>163</v>
      </c>
      <c r="E330" s="174" t="s">
        <v>1105</v>
      </c>
      <c r="F330" s="174" t="s">
        <v>1105</v>
      </c>
    </row>
    <row r="331" spans="1:6" ht="15">
      <c r="B331" s="172">
        <v>415</v>
      </c>
      <c r="D331" s="174" t="s">
        <v>509</v>
      </c>
      <c r="E331" s="174" t="s">
        <v>1106</v>
      </c>
      <c r="F331" s="174" t="s">
        <v>1106</v>
      </c>
    </row>
    <row r="332" spans="1:6" ht="15">
      <c r="B332" s="172">
        <v>416</v>
      </c>
      <c r="D332" s="174" t="s">
        <v>505</v>
      </c>
      <c r="E332" s="174" t="s">
        <v>1107</v>
      </c>
      <c r="F332" s="174" t="s">
        <v>1107</v>
      </c>
    </row>
    <row r="333" spans="1:6" ht="15">
      <c r="A333" s="176"/>
      <c r="B333" s="172">
        <v>417</v>
      </c>
      <c r="C333" s="177" t="s">
        <v>414</v>
      </c>
      <c r="D333" s="175" t="s">
        <v>441</v>
      </c>
      <c r="E333" s="175" t="s">
        <v>1108</v>
      </c>
      <c r="F333" s="175" t="s">
        <v>1108</v>
      </c>
    </row>
    <row r="334" spans="1:6" ht="15">
      <c r="A334" s="176"/>
      <c r="B334" s="172">
        <v>418</v>
      </c>
      <c r="C334" s="177" t="s">
        <v>414</v>
      </c>
      <c r="D334" s="175" t="s">
        <v>442</v>
      </c>
      <c r="E334" s="175" t="s">
        <v>1109</v>
      </c>
      <c r="F334" s="175" t="s">
        <v>1109</v>
      </c>
    </row>
    <row r="335" spans="1:6" ht="15">
      <c r="A335" s="176"/>
      <c r="B335" s="172">
        <v>419</v>
      </c>
      <c r="C335" s="177" t="s">
        <v>414</v>
      </c>
      <c r="D335" s="175" t="s">
        <v>443</v>
      </c>
      <c r="E335" s="175" t="s">
        <v>1110</v>
      </c>
      <c r="F335" s="175" t="s">
        <v>1110</v>
      </c>
    </row>
    <row r="336" spans="1:6" ht="15">
      <c r="B336" s="172">
        <v>420</v>
      </c>
      <c r="D336" s="174" t="s">
        <v>164</v>
      </c>
      <c r="E336" s="174" t="s">
        <v>1108</v>
      </c>
      <c r="F336" s="174" t="s">
        <v>1108</v>
      </c>
    </row>
    <row r="337" spans="2:6" ht="15">
      <c r="B337" s="172">
        <v>421</v>
      </c>
      <c r="D337" s="174" t="s">
        <v>165</v>
      </c>
      <c r="E337" s="175" t="s">
        <v>1111</v>
      </c>
      <c r="F337" s="175" t="s">
        <v>1111</v>
      </c>
    </row>
    <row r="338" spans="2:6" ht="15">
      <c r="B338" s="172">
        <v>422</v>
      </c>
      <c r="D338" s="174" t="s">
        <v>166</v>
      </c>
      <c r="E338" s="174" t="s">
        <v>1112</v>
      </c>
      <c r="F338" s="174" t="s">
        <v>1112</v>
      </c>
    </row>
    <row r="339" spans="2:6" ht="15">
      <c r="B339" s="172">
        <v>423</v>
      </c>
      <c r="D339" s="174" t="s">
        <v>167</v>
      </c>
      <c r="E339" s="174" t="s">
        <v>1113</v>
      </c>
      <c r="F339" s="174" t="s">
        <v>1113</v>
      </c>
    </row>
    <row r="340" spans="2:6" ht="15">
      <c r="B340" s="172">
        <v>424</v>
      </c>
      <c r="D340" s="174" t="s">
        <v>168</v>
      </c>
      <c r="E340" s="174" t="s">
        <v>1114</v>
      </c>
      <c r="F340" s="174" t="s">
        <v>1114</v>
      </c>
    </row>
    <row r="341" spans="2:6" ht="15">
      <c r="B341" s="172">
        <v>425</v>
      </c>
      <c r="D341" s="174" t="s">
        <v>169</v>
      </c>
      <c r="E341" s="174" t="s">
        <v>1115</v>
      </c>
      <c r="F341" s="174" t="s">
        <v>1115</v>
      </c>
    </row>
    <row r="342" spans="2:6" ht="15">
      <c r="B342" s="172">
        <v>426</v>
      </c>
      <c r="D342" s="174" t="s">
        <v>170</v>
      </c>
      <c r="E342" s="174" t="s">
        <v>1116</v>
      </c>
      <c r="F342" s="174" t="s">
        <v>1116</v>
      </c>
    </row>
    <row r="343" spans="2:6" ht="15">
      <c r="B343" s="172">
        <v>427</v>
      </c>
      <c r="D343" s="174" t="s">
        <v>171</v>
      </c>
      <c r="E343" s="174" t="s">
        <v>1117</v>
      </c>
      <c r="F343" s="174" t="s">
        <v>1117</v>
      </c>
    </row>
    <row r="344" spans="2:6" ht="15">
      <c r="B344" s="172">
        <v>428</v>
      </c>
      <c r="D344" s="174" t="s">
        <v>172</v>
      </c>
      <c r="E344" s="174" t="s">
        <v>1118</v>
      </c>
      <c r="F344" s="174" t="s">
        <v>1118</v>
      </c>
    </row>
    <row r="345" spans="2:6" ht="15">
      <c r="B345" s="172">
        <v>429</v>
      </c>
      <c r="D345" s="174" t="s">
        <v>173</v>
      </c>
      <c r="E345" s="174" t="s">
        <v>1119</v>
      </c>
      <c r="F345" s="174" t="s">
        <v>1119</v>
      </c>
    </row>
    <row r="346" spans="2:6" ht="15">
      <c r="B346" s="172">
        <v>430</v>
      </c>
      <c r="D346" s="174" t="s">
        <v>174</v>
      </c>
      <c r="E346" s="174" t="s">
        <v>1120</v>
      </c>
      <c r="F346" s="174" t="s">
        <v>1120</v>
      </c>
    </row>
    <row r="347" spans="2:6" ht="15">
      <c r="B347" s="172">
        <v>431</v>
      </c>
      <c r="D347" s="174" t="s">
        <v>175</v>
      </c>
      <c r="E347" s="174" t="s">
        <v>1121</v>
      </c>
      <c r="F347" s="174" t="s">
        <v>1121</v>
      </c>
    </row>
    <row r="348" spans="2:6" ht="15">
      <c r="B348" s="172">
        <v>432</v>
      </c>
      <c r="D348" s="174" t="s">
        <v>176</v>
      </c>
      <c r="E348" s="174" t="s">
        <v>1122</v>
      </c>
      <c r="F348" s="174" t="s">
        <v>1122</v>
      </c>
    </row>
    <row r="349" spans="2:6" ht="15">
      <c r="B349" s="172">
        <v>433</v>
      </c>
      <c r="D349" s="174" t="s">
        <v>177</v>
      </c>
      <c r="E349" s="174" t="s">
        <v>1123</v>
      </c>
      <c r="F349" s="174" t="s">
        <v>1123</v>
      </c>
    </row>
    <row r="350" spans="2:6" ht="15">
      <c r="B350" s="172">
        <v>434</v>
      </c>
      <c r="D350" s="174" t="s">
        <v>512</v>
      </c>
      <c r="E350" s="174" t="s">
        <v>1124</v>
      </c>
      <c r="F350" s="174" t="s">
        <v>1124</v>
      </c>
    </row>
    <row r="351" spans="2:6" ht="15">
      <c r="B351" s="172">
        <v>435</v>
      </c>
      <c r="D351" s="174" t="s">
        <v>511</v>
      </c>
      <c r="E351" s="174" t="s">
        <v>1125</v>
      </c>
      <c r="F351" s="174" t="s">
        <v>1125</v>
      </c>
    </row>
    <row r="352" spans="2:6" ht="15">
      <c r="B352" s="172">
        <v>436</v>
      </c>
      <c r="D352" s="174" t="s">
        <v>178</v>
      </c>
      <c r="E352" s="174" t="s">
        <v>1126</v>
      </c>
      <c r="F352" s="174" t="s">
        <v>1126</v>
      </c>
    </row>
    <row r="353" spans="2:6" ht="15">
      <c r="B353" s="172">
        <v>437</v>
      </c>
      <c r="D353" s="174" t="s">
        <v>179</v>
      </c>
      <c r="E353" s="174" t="s">
        <v>1127</v>
      </c>
      <c r="F353" s="174" t="s">
        <v>1127</v>
      </c>
    </row>
    <row r="354" spans="2:6" ht="15">
      <c r="B354" s="172">
        <v>438</v>
      </c>
      <c r="D354" s="174" t="s">
        <v>180</v>
      </c>
      <c r="E354" s="174" t="s">
        <v>1128</v>
      </c>
      <c r="F354" s="174" t="s">
        <v>1128</v>
      </c>
    </row>
    <row r="355" spans="2:6" ht="15">
      <c r="B355" s="172">
        <v>439</v>
      </c>
      <c r="D355" s="174" t="s">
        <v>181</v>
      </c>
      <c r="E355" s="174" t="s">
        <v>1129</v>
      </c>
      <c r="F355" s="174" t="s">
        <v>1129</v>
      </c>
    </row>
    <row r="356" spans="2:6" ht="15">
      <c r="B356" s="172">
        <v>440</v>
      </c>
      <c r="D356" s="174" t="s">
        <v>182</v>
      </c>
      <c r="E356" s="174" t="s">
        <v>1130</v>
      </c>
      <c r="F356" s="174" t="s">
        <v>1130</v>
      </c>
    </row>
    <row r="357" spans="2:6" ht="15">
      <c r="B357" s="172">
        <v>441</v>
      </c>
      <c r="D357" s="174" t="s">
        <v>183</v>
      </c>
      <c r="E357" s="174" t="s">
        <v>1131</v>
      </c>
      <c r="F357" s="174" t="s">
        <v>1131</v>
      </c>
    </row>
    <row r="358" spans="2:6" ht="15">
      <c r="B358" s="172">
        <v>442</v>
      </c>
      <c r="D358" s="174" t="s">
        <v>513</v>
      </c>
      <c r="E358" s="174" t="s">
        <v>1132</v>
      </c>
      <c r="F358" s="174" t="s">
        <v>1132</v>
      </c>
    </row>
    <row r="359" spans="2:6" ht="15">
      <c r="B359" s="172">
        <v>443</v>
      </c>
      <c r="D359" s="174" t="s">
        <v>499</v>
      </c>
      <c r="E359" s="174" t="s">
        <v>1133</v>
      </c>
      <c r="F359" s="174" t="s">
        <v>1133</v>
      </c>
    </row>
    <row r="360" spans="2:6" ht="13">
      <c r="B360" s="172">
        <v>444</v>
      </c>
      <c r="D360" s="174" t="s">
        <v>392</v>
      </c>
      <c r="E360" s="174" t="s">
        <v>392</v>
      </c>
      <c r="F360" s="174" t="s">
        <v>392</v>
      </c>
    </row>
    <row r="361" spans="2:6" ht="30">
      <c r="B361" s="172">
        <v>445</v>
      </c>
      <c r="C361" s="173" t="s">
        <v>543</v>
      </c>
      <c r="D361" s="174" t="s">
        <v>571</v>
      </c>
      <c r="E361" s="174" t="s">
        <v>1134</v>
      </c>
      <c r="F361" s="174" t="s">
        <v>1134</v>
      </c>
    </row>
    <row r="362" spans="2:6" ht="15">
      <c r="B362" s="172">
        <v>446</v>
      </c>
      <c r="D362" s="174" t="s">
        <v>599</v>
      </c>
      <c r="E362" s="174" t="s">
        <v>1135</v>
      </c>
      <c r="F362" s="174" t="s">
        <v>1135</v>
      </c>
    </row>
    <row r="363" spans="2:6" ht="15">
      <c r="B363" s="172">
        <v>447</v>
      </c>
      <c r="C363" s="173" t="s">
        <v>466</v>
      </c>
      <c r="D363" s="174" t="s">
        <v>471</v>
      </c>
      <c r="E363" s="174" t="s">
        <v>1136</v>
      </c>
      <c r="F363" s="174" t="s">
        <v>1136</v>
      </c>
    </row>
    <row r="364" spans="2:6" ht="15">
      <c r="B364" s="172">
        <v>448</v>
      </c>
      <c r="D364" s="174" t="s">
        <v>184</v>
      </c>
      <c r="E364" s="174" t="s">
        <v>1137</v>
      </c>
      <c r="F364" s="174" t="s">
        <v>1137</v>
      </c>
    </row>
    <row r="365" spans="2:6" ht="30">
      <c r="B365" s="172">
        <v>449</v>
      </c>
      <c r="D365" s="174" t="s">
        <v>185</v>
      </c>
      <c r="E365" s="174" t="s">
        <v>1138</v>
      </c>
      <c r="F365" s="174" t="s">
        <v>1138</v>
      </c>
    </row>
    <row r="366" spans="2:6" ht="15">
      <c r="B366" s="172">
        <v>450</v>
      </c>
      <c r="D366" s="174" t="s">
        <v>186</v>
      </c>
      <c r="E366" s="174" t="s">
        <v>1139</v>
      </c>
      <c r="F366" s="174" t="s">
        <v>1139</v>
      </c>
    </row>
    <row r="367" spans="2:6" ht="15">
      <c r="B367" s="172">
        <v>451</v>
      </c>
      <c r="D367" s="174" t="s">
        <v>605</v>
      </c>
      <c r="E367" s="174" t="s">
        <v>1140</v>
      </c>
      <c r="F367" s="174" t="s">
        <v>1140</v>
      </c>
    </row>
    <row r="368" spans="2:6" ht="30">
      <c r="B368" s="172">
        <v>452</v>
      </c>
      <c r="D368" s="174" t="s">
        <v>187</v>
      </c>
      <c r="E368" s="174" t="s">
        <v>1141</v>
      </c>
      <c r="F368" s="174" t="s">
        <v>1141</v>
      </c>
    </row>
    <row r="369" spans="2:6" ht="15">
      <c r="B369" s="172">
        <v>453</v>
      </c>
      <c r="D369" s="175" t="s">
        <v>444</v>
      </c>
      <c r="E369" s="174" t="s">
        <v>920</v>
      </c>
      <c r="F369" s="174" t="s">
        <v>920</v>
      </c>
    </row>
    <row r="370" spans="2:6" ht="15">
      <c r="B370" s="172">
        <v>454</v>
      </c>
      <c r="D370" s="174" t="s">
        <v>393</v>
      </c>
      <c r="E370" s="174" t="s">
        <v>1142</v>
      </c>
      <c r="F370" s="174" t="s">
        <v>1142</v>
      </c>
    </row>
    <row r="371" spans="2:6" ht="15">
      <c r="B371" s="172">
        <v>455</v>
      </c>
      <c r="D371" s="174" t="s">
        <v>188</v>
      </c>
      <c r="E371" s="174" t="s">
        <v>1143</v>
      </c>
      <c r="F371" s="174" t="s">
        <v>1143</v>
      </c>
    </row>
    <row r="372" spans="2:6" ht="15">
      <c r="B372" s="172">
        <v>456</v>
      </c>
      <c r="D372" s="174" t="s">
        <v>394</v>
      </c>
      <c r="E372" s="174" t="s">
        <v>1144</v>
      </c>
      <c r="F372" s="174" t="s">
        <v>1144</v>
      </c>
    </row>
    <row r="373" spans="2:6" ht="15">
      <c r="B373" s="172">
        <v>457</v>
      </c>
      <c r="D373" s="174" t="s">
        <v>189</v>
      </c>
      <c r="E373" s="174" t="s">
        <v>1145</v>
      </c>
      <c r="F373" s="174" t="s">
        <v>1145</v>
      </c>
    </row>
    <row r="374" spans="2:6" ht="15">
      <c r="B374" s="172">
        <v>458</v>
      </c>
      <c r="D374" s="174" t="s">
        <v>190</v>
      </c>
      <c r="E374" s="174" t="s">
        <v>1146</v>
      </c>
      <c r="F374" s="174" t="s">
        <v>1146</v>
      </c>
    </row>
    <row r="375" spans="2:6" ht="15">
      <c r="B375" s="172">
        <v>459</v>
      </c>
      <c r="C375" s="173" t="s">
        <v>543</v>
      </c>
      <c r="D375" s="174" t="s">
        <v>563</v>
      </c>
      <c r="E375" s="174" t="s">
        <v>1147</v>
      </c>
      <c r="F375" s="174" t="s">
        <v>1147</v>
      </c>
    </row>
    <row r="376" spans="2:6" ht="15">
      <c r="B376" s="172">
        <v>460</v>
      </c>
      <c r="D376" s="174" t="s">
        <v>191</v>
      </c>
      <c r="E376" s="174" t="s">
        <v>1147</v>
      </c>
      <c r="F376" s="174" t="s">
        <v>1147</v>
      </c>
    </row>
    <row r="377" spans="2:6" ht="15">
      <c r="B377" s="172">
        <v>461</v>
      </c>
      <c r="D377" s="174" t="s">
        <v>192</v>
      </c>
      <c r="E377" s="174" t="s">
        <v>1148</v>
      </c>
      <c r="F377" s="174" t="s">
        <v>1148</v>
      </c>
    </row>
    <row r="378" spans="2:6" ht="15">
      <c r="B378" s="172">
        <v>462</v>
      </c>
      <c r="D378" s="174" t="s">
        <v>623</v>
      </c>
      <c r="E378" s="174" t="s">
        <v>1149</v>
      </c>
      <c r="F378" s="174" t="s">
        <v>1149</v>
      </c>
    </row>
    <row r="379" spans="2:6" ht="15">
      <c r="B379" s="172">
        <v>463</v>
      </c>
      <c r="D379" s="174" t="s">
        <v>193</v>
      </c>
      <c r="E379" s="174" t="s">
        <v>1150</v>
      </c>
      <c r="F379" s="174" t="s">
        <v>1150</v>
      </c>
    </row>
    <row r="380" spans="2:6" ht="13">
      <c r="B380" s="172">
        <v>464</v>
      </c>
      <c r="D380" s="174" t="s">
        <v>194</v>
      </c>
      <c r="F380" s="174"/>
    </row>
    <row r="381" spans="2:6" ht="15">
      <c r="B381" s="172">
        <v>465</v>
      </c>
      <c r="D381" s="174" t="s">
        <v>395</v>
      </c>
      <c r="E381" s="174" t="s">
        <v>1151</v>
      </c>
      <c r="F381" s="174" t="s">
        <v>1151</v>
      </c>
    </row>
    <row r="382" spans="2:6" ht="26">
      <c r="B382" s="172">
        <v>466</v>
      </c>
      <c r="D382" s="174" t="s">
        <v>614</v>
      </c>
      <c r="E382" s="174" t="s">
        <v>1152</v>
      </c>
      <c r="F382" s="174" t="s">
        <v>1152</v>
      </c>
    </row>
    <row r="383" spans="2:6" ht="26">
      <c r="B383" s="172">
        <v>467</v>
      </c>
      <c r="D383" s="174" t="s">
        <v>195</v>
      </c>
      <c r="E383" s="174" t="s">
        <v>1153</v>
      </c>
      <c r="F383" s="174" t="s">
        <v>1153</v>
      </c>
    </row>
    <row r="384" spans="2:6" ht="15">
      <c r="B384" s="172">
        <v>468</v>
      </c>
      <c r="D384" s="174" t="s">
        <v>196</v>
      </c>
      <c r="E384" s="174" t="s">
        <v>1154</v>
      </c>
      <c r="F384" s="174" t="s">
        <v>1154</v>
      </c>
    </row>
    <row r="385" spans="2:6" ht="15">
      <c r="B385" s="172">
        <v>469</v>
      </c>
      <c r="D385" s="174" t="s">
        <v>197</v>
      </c>
      <c r="E385" s="174" t="s">
        <v>1155</v>
      </c>
      <c r="F385" s="174" t="s">
        <v>1155</v>
      </c>
    </row>
    <row r="386" spans="2:6" ht="15">
      <c r="B386" s="172">
        <v>470</v>
      </c>
      <c r="C386" s="173" t="s">
        <v>543</v>
      </c>
      <c r="D386" s="174" t="s">
        <v>556</v>
      </c>
      <c r="E386" s="174" t="s">
        <v>1156</v>
      </c>
      <c r="F386" s="174" t="s">
        <v>1156</v>
      </c>
    </row>
    <row r="387" spans="2:6" ht="15">
      <c r="B387" s="172">
        <v>471</v>
      </c>
      <c r="C387" s="173" t="s">
        <v>543</v>
      </c>
      <c r="D387" s="174" t="s">
        <v>560</v>
      </c>
      <c r="E387" s="174" t="s">
        <v>1157</v>
      </c>
      <c r="F387" s="174" t="s">
        <v>1157</v>
      </c>
    </row>
    <row r="388" spans="2:6" ht="15">
      <c r="B388" s="172">
        <v>472</v>
      </c>
      <c r="D388" s="174" t="s">
        <v>198</v>
      </c>
      <c r="E388" s="174" t="s">
        <v>1158</v>
      </c>
      <c r="F388" s="174" t="s">
        <v>1158</v>
      </c>
    </row>
    <row r="389" spans="2:6" ht="15">
      <c r="B389" s="172">
        <v>473</v>
      </c>
      <c r="C389" s="173" t="s">
        <v>543</v>
      </c>
      <c r="D389" s="174" t="s">
        <v>552</v>
      </c>
      <c r="E389" s="174" t="s">
        <v>1159</v>
      </c>
      <c r="F389" s="174" t="s">
        <v>1159</v>
      </c>
    </row>
    <row r="390" spans="2:6" ht="26">
      <c r="B390" s="172">
        <v>474</v>
      </c>
      <c r="C390" s="173" t="s">
        <v>543</v>
      </c>
      <c r="D390" s="174" t="s">
        <v>554</v>
      </c>
      <c r="E390" s="174" t="s">
        <v>1160</v>
      </c>
      <c r="F390" s="174" t="s">
        <v>1160</v>
      </c>
    </row>
    <row r="391" spans="2:6" ht="15">
      <c r="B391" s="172">
        <v>475</v>
      </c>
      <c r="C391" s="173" t="s">
        <v>543</v>
      </c>
      <c r="D391" s="174" t="s">
        <v>555</v>
      </c>
      <c r="E391" s="174" t="s">
        <v>1161</v>
      </c>
      <c r="F391" s="174" t="s">
        <v>1161</v>
      </c>
    </row>
    <row r="392" spans="2:6" ht="15">
      <c r="B392" s="172">
        <v>476</v>
      </c>
      <c r="D392" s="174" t="s">
        <v>199</v>
      </c>
      <c r="E392" s="174" t="s">
        <v>1162</v>
      </c>
      <c r="F392" s="174" t="s">
        <v>1162</v>
      </c>
    </row>
    <row r="393" spans="2:6" ht="15">
      <c r="B393" s="172">
        <v>477</v>
      </c>
      <c r="D393" s="174" t="s">
        <v>200</v>
      </c>
      <c r="E393" s="174" t="s">
        <v>1163</v>
      </c>
      <c r="F393" s="174" t="s">
        <v>1163</v>
      </c>
    </row>
    <row r="394" spans="2:6" ht="45">
      <c r="B394" s="172">
        <v>478</v>
      </c>
      <c r="C394" s="173" t="s">
        <v>543</v>
      </c>
      <c r="D394" s="174" t="s">
        <v>573</v>
      </c>
      <c r="E394" s="174" t="s">
        <v>1164</v>
      </c>
      <c r="F394" s="174" t="s">
        <v>1164</v>
      </c>
    </row>
    <row r="395" spans="2:6" ht="15">
      <c r="B395" s="172">
        <v>479</v>
      </c>
      <c r="D395" s="174" t="s">
        <v>201</v>
      </c>
      <c r="E395" s="174" t="s">
        <v>1165</v>
      </c>
      <c r="F395" s="174" t="s">
        <v>1165</v>
      </c>
    </row>
    <row r="396" spans="2:6" ht="15">
      <c r="B396" s="172">
        <v>480</v>
      </c>
      <c r="D396" s="174" t="s">
        <v>627</v>
      </c>
      <c r="E396" s="174" t="s">
        <v>1166</v>
      </c>
      <c r="F396" s="174" t="s">
        <v>1166</v>
      </c>
    </row>
    <row r="397" spans="2:6" ht="15">
      <c r="B397" s="172">
        <v>481</v>
      </c>
      <c r="D397" s="174" t="s">
        <v>202</v>
      </c>
      <c r="E397" s="174" t="s">
        <v>1167</v>
      </c>
      <c r="F397" s="174" t="s">
        <v>1167</v>
      </c>
    </row>
    <row r="398" spans="2:6" ht="15">
      <c r="B398" s="172">
        <v>482</v>
      </c>
      <c r="D398" s="174" t="s">
        <v>203</v>
      </c>
      <c r="E398" s="174" t="s">
        <v>1168</v>
      </c>
      <c r="F398" s="174" t="s">
        <v>1168</v>
      </c>
    </row>
    <row r="399" spans="2:6" ht="15">
      <c r="B399" s="172">
        <v>483</v>
      </c>
      <c r="D399" s="174" t="s">
        <v>204</v>
      </c>
      <c r="E399" s="174" t="s">
        <v>1169</v>
      </c>
      <c r="F399" s="174" t="s">
        <v>1169</v>
      </c>
    </row>
    <row r="400" spans="2:6" ht="15">
      <c r="B400" s="172">
        <v>484</v>
      </c>
      <c r="D400" s="174" t="s">
        <v>205</v>
      </c>
      <c r="E400" s="174" t="s">
        <v>1170</v>
      </c>
      <c r="F400" s="174" t="s">
        <v>1170</v>
      </c>
    </row>
    <row r="401" spans="2:6" ht="30">
      <c r="B401" s="172">
        <v>485</v>
      </c>
      <c r="D401" s="174" t="s">
        <v>206</v>
      </c>
      <c r="E401" s="174" t="s">
        <v>1171</v>
      </c>
      <c r="F401" s="174" t="s">
        <v>1171</v>
      </c>
    </row>
    <row r="402" spans="2:6" ht="15">
      <c r="B402" s="172">
        <v>486</v>
      </c>
      <c r="D402" s="174" t="s">
        <v>626</v>
      </c>
      <c r="E402" s="174" t="s">
        <v>1172</v>
      </c>
      <c r="F402" s="174" t="s">
        <v>1172</v>
      </c>
    </row>
    <row r="403" spans="2:6" ht="15">
      <c r="B403" s="172">
        <v>487</v>
      </c>
      <c r="D403" s="174" t="s">
        <v>624</v>
      </c>
      <c r="E403" s="174" t="s">
        <v>1173</v>
      </c>
      <c r="F403" s="174" t="s">
        <v>1173</v>
      </c>
    </row>
    <row r="404" spans="2:6" ht="15">
      <c r="B404" s="172">
        <v>488</v>
      </c>
      <c r="D404" s="174" t="s">
        <v>625</v>
      </c>
      <c r="E404" s="174" t="s">
        <v>1174</v>
      </c>
      <c r="F404" s="174" t="s">
        <v>1174</v>
      </c>
    </row>
    <row r="405" spans="2:6" ht="15">
      <c r="B405" s="172">
        <v>489</v>
      </c>
      <c r="D405" s="174" t="s">
        <v>207</v>
      </c>
      <c r="E405" s="174" t="s">
        <v>1175</v>
      </c>
      <c r="F405" s="174" t="s">
        <v>1175</v>
      </c>
    </row>
    <row r="406" spans="2:6" ht="15">
      <c r="B406" s="172">
        <v>490</v>
      </c>
      <c r="C406" s="173" t="s">
        <v>466</v>
      </c>
      <c r="D406" s="174" t="s">
        <v>470</v>
      </c>
      <c r="E406" s="174" t="s">
        <v>1176</v>
      </c>
      <c r="F406" s="174" t="s">
        <v>1176</v>
      </c>
    </row>
    <row r="407" spans="2:6" ht="15">
      <c r="B407" s="172">
        <v>491</v>
      </c>
      <c r="D407" s="174" t="s">
        <v>208</v>
      </c>
      <c r="E407" s="174" t="s">
        <v>1177</v>
      </c>
      <c r="F407" s="174" t="s">
        <v>1177</v>
      </c>
    </row>
    <row r="408" spans="2:6" ht="15">
      <c r="B408" s="172">
        <v>492</v>
      </c>
      <c r="C408" s="173" t="s">
        <v>484</v>
      </c>
      <c r="D408" s="174" t="s">
        <v>482</v>
      </c>
      <c r="E408" s="174" t="s">
        <v>1178</v>
      </c>
      <c r="F408" s="174" t="s">
        <v>1178</v>
      </c>
    </row>
    <row r="409" spans="2:6" ht="15">
      <c r="B409" s="172">
        <v>493</v>
      </c>
      <c r="C409" s="173" t="s">
        <v>484</v>
      </c>
      <c r="D409" s="174" t="s">
        <v>481</v>
      </c>
      <c r="E409" s="174" t="s">
        <v>1179</v>
      </c>
      <c r="F409" s="174" t="s">
        <v>1179</v>
      </c>
    </row>
    <row r="410" spans="2:6" ht="15">
      <c r="B410" s="172">
        <v>494</v>
      </c>
      <c r="D410" s="174" t="s">
        <v>209</v>
      </c>
      <c r="E410" s="174" t="s">
        <v>1180</v>
      </c>
      <c r="F410" s="174" t="s">
        <v>1180</v>
      </c>
    </row>
    <row r="411" spans="2:6" ht="15">
      <c r="B411" s="172">
        <v>495</v>
      </c>
      <c r="D411" s="174" t="s">
        <v>210</v>
      </c>
      <c r="E411" s="174" t="s">
        <v>1181</v>
      </c>
      <c r="F411" s="174" t="s">
        <v>1181</v>
      </c>
    </row>
    <row r="412" spans="2:6" ht="15">
      <c r="B412" s="172">
        <v>496</v>
      </c>
      <c r="C412" s="173" t="s">
        <v>543</v>
      </c>
      <c r="D412" s="174" t="s">
        <v>653</v>
      </c>
      <c r="E412" s="174" t="s">
        <v>1182</v>
      </c>
      <c r="F412" s="174" t="s">
        <v>1182</v>
      </c>
    </row>
    <row r="413" spans="2:6" ht="15">
      <c r="B413" s="172">
        <v>497</v>
      </c>
      <c r="D413" s="174" t="s">
        <v>211</v>
      </c>
      <c r="E413" s="174" t="s">
        <v>1183</v>
      </c>
      <c r="F413" s="174" t="s">
        <v>1183</v>
      </c>
    </row>
    <row r="414" spans="2:6" ht="45">
      <c r="B414" s="172">
        <v>498</v>
      </c>
      <c r="D414" s="174" t="s">
        <v>212</v>
      </c>
      <c r="E414" s="174" t="s">
        <v>1184</v>
      </c>
      <c r="F414" s="174" t="s">
        <v>1184</v>
      </c>
    </row>
    <row r="415" spans="2:6" ht="15">
      <c r="B415" s="172">
        <v>499</v>
      </c>
      <c r="D415" s="174" t="s">
        <v>213</v>
      </c>
      <c r="E415" s="174" t="s">
        <v>1185</v>
      </c>
      <c r="F415" s="174" t="s">
        <v>1185</v>
      </c>
    </row>
    <row r="416" spans="2:6" ht="26">
      <c r="B416" s="172">
        <v>500</v>
      </c>
      <c r="D416" s="174" t="s">
        <v>214</v>
      </c>
      <c r="E416" s="174" t="s">
        <v>1186</v>
      </c>
      <c r="F416" s="174" t="s">
        <v>1186</v>
      </c>
    </row>
    <row r="417" spans="2:6" ht="15">
      <c r="B417" s="172">
        <v>501</v>
      </c>
      <c r="D417" s="174" t="s">
        <v>215</v>
      </c>
      <c r="E417" s="174" t="s">
        <v>1187</v>
      </c>
      <c r="F417" s="174" t="s">
        <v>1187</v>
      </c>
    </row>
    <row r="418" spans="2:6" ht="26">
      <c r="B418" s="172">
        <v>502</v>
      </c>
      <c r="D418" s="174" t="s">
        <v>216</v>
      </c>
      <c r="E418" s="174" t="s">
        <v>1188</v>
      </c>
      <c r="F418" s="174" t="s">
        <v>1188</v>
      </c>
    </row>
    <row r="419" spans="2:6" ht="26">
      <c r="B419" s="172">
        <v>503</v>
      </c>
      <c r="D419" s="174" t="s">
        <v>217</v>
      </c>
      <c r="E419" s="174" t="s">
        <v>1189</v>
      </c>
      <c r="F419" s="174" t="s">
        <v>1189</v>
      </c>
    </row>
    <row r="420" spans="2:6" ht="26">
      <c r="B420" s="172">
        <v>504</v>
      </c>
      <c r="D420" s="174" t="s">
        <v>218</v>
      </c>
      <c r="E420" s="174" t="s">
        <v>1190</v>
      </c>
      <c r="F420" s="174" t="s">
        <v>1190</v>
      </c>
    </row>
    <row r="421" spans="2:6" ht="26">
      <c r="B421" s="172">
        <v>505</v>
      </c>
      <c r="D421" s="174" t="s">
        <v>219</v>
      </c>
      <c r="E421" s="174" t="s">
        <v>1191</v>
      </c>
      <c r="F421" s="174" t="s">
        <v>1191</v>
      </c>
    </row>
    <row r="422" spans="2:6" ht="26">
      <c r="B422" s="172">
        <v>506</v>
      </c>
      <c r="D422" s="174" t="s">
        <v>220</v>
      </c>
      <c r="E422" s="174" t="s">
        <v>1192</v>
      </c>
      <c r="F422" s="174" t="s">
        <v>1192</v>
      </c>
    </row>
    <row r="423" spans="2:6" ht="26">
      <c r="B423" s="172">
        <v>507</v>
      </c>
      <c r="D423" s="174" t="s">
        <v>221</v>
      </c>
      <c r="E423" s="174" t="s">
        <v>1193</v>
      </c>
      <c r="F423" s="174" t="s">
        <v>1193</v>
      </c>
    </row>
    <row r="424" spans="2:6" ht="26">
      <c r="B424" s="172">
        <v>508</v>
      </c>
      <c r="D424" s="174" t="s">
        <v>222</v>
      </c>
      <c r="E424" s="174" t="s">
        <v>1194</v>
      </c>
      <c r="F424" s="174" t="s">
        <v>1194</v>
      </c>
    </row>
    <row r="425" spans="2:6" ht="26">
      <c r="B425" s="172">
        <v>509</v>
      </c>
      <c r="D425" s="174" t="s">
        <v>223</v>
      </c>
      <c r="E425" s="174" t="s">
        <v>1195</v>
      </c>
      <c r="F425" s="174" t="s">
        <v>1195</v>
      </c>
    </row>
    <row r="426" spans="2:6" ht="26">
      <c r="B426" s="172">
        <v>510</v>
      </c>
      <c r="D426" s="174" t="s">
        <v>224</v>
      </c>
      <c r="E426" s="174" t="s">
        <v>1196</v>
      </c>
      <c r="F426" s="174" t="s">
        <v>1196</v>
      </c>
    </row>
    <row r="427" spans="2:6" ht="26">
      <c r="B427" s="172">
        <v>511</v>
      </c>
      <c r="D427" s="174" t="s">
        <v>225</v>
      </c>
      <c r="E427" s="174" t="s">
        <v>1197</v>
      </c>
      <c r="F427" s="174" t="s">
        <v>1197</v>
      </c>
    </row>
    <row r="428" spans="2:6" ht="26">
      <c r="B428" s="172">
        <v>512</v>
      </c>
      <c r="D428" s="174" t="s">
        <v>226</v>
      </c>
      <c r="E428" s="174" t="s">
        <v>1198</v>
      </c>
      <c r="F428" s="174" t="s">
        <v>1198</v>
      </c>
    </row>
    <row r="429" spans="2:6" ht="26">
      <c r="B429" s="172">
        <v>513</v>
      </c>
      <c r="D429" s="174" t="s">
        <v>227</v>
      </c>
      <c r="E429" s="174" t="s">
        <v>1199</v>
      </c>
      <c r="F429" s="174" t="s">
        <v>1199</v>
      </c>
    </row>
    <row r="430" spans="2:6" ht="26">
      <c r="B430" s="172">
        <v>514</v>
      </c>
      <c r="D430" s="174" t="s">
        <v>228</v>
      </c>
      <c r="E430" s="174" t="s">
        <v>1200</v>
      </c>
      <c r="F430" s="174" t="s">
        <v>1200</v>
      </c>
    </row>
    <row r="431" spans="2:6" ht="26">
      <c r="B431" s="172">
        <v>515</v>
      </c>
      <c r="D431" s="174" t="s">
        <v>229</v>
      </c>
      <c r="E431" s="174" t="s">
        <v>1201</v>
      </c>
      <c r="F431" s="174" t="s">
        <v>1201</v>
      </c>
    </row>
    <row r="432" spans="2:6" ht="26">
      <c r="B432" s="172">
        <v>516</v>
      </c>
      <c r="D432" s="174" t="s">
        <v>230</v>
      </c>
      <c r="E432" s="174" t="s">
        <v>1202</v>
      </c>
      <c r="F432" s="174" t="s">
        <v>1202</v>
      </c>
    </row>
    <row r="433" spans="1:27" ht="26">
      <c r="B433" s="172">
        <v>517</v>
      </c>
      <c r="D433" s="174" t="s">
        <v>231</v>
      </c>
      <c r="E433" s="174" t="s">
        <v>1203</v>
      </c>
      <c r="F433" s="174" t="s">
        <v>1203</v>
      </c>
    </row>
    <row r="434" spans="1:27" ht="26">
      <c r="B434" s="172">
        <v>518</v>
      </c>
      <c r="D434" s="174" t="s">
        <v>232</v>
      </c>
      <c r="E434" s="174" t="s">
        <v>1204</v>
      </c>
      <c r="F434" s="174" t="s">
        <v>1204</v>
      </c>
    </row>
    <row r="435" spans="1:27" ht="26">
      <c r="B435" s="172">
        <v>519</v>
      </c>
      <c r="D435" s="174" t="s">
        <v>233</v>
      </c>
      <c r="E435" s="174" t="s">
        <v>1205</v>
      </c>
      <c r="F435" s="174" t="s">
        <v>1205</v>
      </c>
    </row>
    <row r="436" spans="1:27" ht="26">
      <c r="B436" s="172">
        <v>520</v>
      </c>
      <c r="D436" s="174" t="s">
        <v>234</v>
      </c>
      <c r="E436" s="174" t="s">
        <v>1206</v>
      </c>
      <c r="F436" s="174" t="s">
        <v>1206</v>
      </c>
    </row>
    <row r="437" spans="1:27" ht="26">
      <c r="B437" s="172">
        <v>521</v>
      </c>
      <c r="D437" s="174" t="s">
        <v>396</v>
      </c>
      <c r="E437" s="174" t="s">
        <v>1207</v>
      </c>
      <c r="F437" s="174" t="s">
        <v>1207</v>
      </c>
    </row>
    <row r="438" spans="1:27" ht="26">
      <c r="B438" s="172">
        <v>522</v>
      </c>
      <c r="D438" s="174" t="s">
        <v>397</v>
      </c>
      <c r="E438" s="174" t="s">
        <v>1207</v>
      </c>
      <c r="F438" s="174" t="s">
        <v>1207</v>
      </c>
    </row>
    <row r="439" spans="1:27" ht="30">
      <c r="B439" s="172">
        <v>523</v>
      </c>
      <c r="D439" s="174" t="s">
        <v>235</v>
      </c>
      <c r="E439" s="174" t="s">
        <v>1208</v>
      </c>
      <c r="F439" s="174" t="s">
        <v>1208</v>
      </c>
    </row>
    <row r="440" spans="1:27" ht="26">
      <c r="B440" s="172">
        <v>524</v>
      </c>
      <c r="D440" s="174" t="s">
        <v>236</v>
      </c>
      <c r="E440" s="174" t="s">
        <v>1209</v>
      </c>
      <c r="F440" s="174" t="s">
        <v>1209</v>
      </c>
    </row>
    <row r="441" spans="1:27" ht="30">
      <c r="B441" s="172">
        <v>525</v>
      </c>
      <c r="D441" s="174" t="s">
        <v>237</v>
      </c>
      <c r="E441" s="174" t="s">
        <v>1210</v>
      </c>
      <c r="F441" s="174" t="s">
        <v>1210</v>
      </c>
    </row>
    <row r="442" spans="1:27" ht="26">
      <c r="B442" s="172">
        <v>526</v>
      </c>
      <c r="D442" s="174" t="s">
        <v>238</v>
      </c>
      <c r="E442" s="174" t="s">
        <v>1211</v>
      </c>
      <c r="F442" s="174" t="s">
        <v>1211</v>
      </c>
    </row>
    <row r="443" spans="1:27" ht="26">
      <c r="B443" s="172">
        <v>527</v>
      </c>
      <c r="D443" s="174" t="s">
        <v>398</v>
      </c>
      <c r="E443" s="174" t="s">
        <v>1212</v>
      </c>
      <c r="F443" s="174" t="s">
        <v>1212</v>
      </c>
    </row>
    <row r="444" spans="1:27" s="175" customFormat="1" ht="26">
      <c r="A444" s="171"/>
      <c r="B444" s="172">
        <v>528</v>
      </c>
      <c r="C444" s="173"/>
      <c r="D444" s="174" t="s">
        <v>399</v>
      </c>
      <c r="E444" s="174" t="s">
        <v>1213</v>
      </c>
      <c r="F444" s="174" t="s">
        <v>1213</v>
      </c>
      <c r="G444" s="171"/>
      <c r="H444" s="171"/>
      <c r="I444" s="171"/>
      <c r="J444" s="171"/>
      <c r="K444" s="171"/>
      <c r="L444" s="171"/>
      <c r="M444" s="171"/>
      <c r="N444" s="171"/>
      <c r="O444" s="171"/>
      <c r="P444" s="171"/>
      <c r="Q444" s="171"/>
      <c r="R444" s="171"/>
      <c r="S444" s="171"/>
      <c r="T444" s="171"/>
      <c r="U444" s="171"/>
      <c r="V444" s="171"/>
      <c r="W444" s="171"/>
      <c r="X444" s="171"/>
      <c r="Y444" s="171"/>
      <c r="Z444" s="171"/>
      <c r="AA444" s="171"/>
    </row>
    <row r="445" spans="1:27" s="175" customFormat="1" ht="15">
      <c r="A445" s="171"/>
      <c r="B445" s="172">
        <v>529</v>
      </c>
      <c r="C445" s="173"/>
      <c r="D445" s="174" t="s">
        <v>239</v>
      </c>
      <c r="E445" s="174" t="s">
        <v>1214</v>
      </c>
      <c r="F445" s="174" t="s">
        <v>1214</v>
      </c>
      <c r="G445" s="171"/>
      <c r="H445" s="171"/>
      <c r="I445" s="171"/>
      <c r="J445" s="171"/>
      <c r="K445" s="171"/>
      <c r="L445" s="171"/>
      <c r="M445" s="171"/>
      <c r="N445" s="171"/>
      <c r="O445" s="171"/>
      <c r="P445" s="171"/>
      <c r="Q445" s="171"/>
      <c r="R445" s="171"/>
      <c r="S445" s="171"/>
      <c r="T445" s="171"/>
      <c r="U445" s="171"/>
      <c r="V445" s="171"/>
      <c r="W445" s="171"/>
      <c r="X445" s="171"/>
      <c r="Y445" s="171"/>
      <c r="Z445" s="171"/>
      <c r="AA445" s="171"/>
    </row>
    <row r="446" spans="1:27" s="176" customFormat="1" ht="30">
      <c r="A446" s="171"/>
      <c r="B446" s="172">
        <v>530</v>
      </c>
      <c r="C446" s="173"/>
      <c r="D446" s="174" t="s">
        <v>240</v>
      </c>
      <c r="E446" s="174" t="s">
        <v>1215</v>
      </c>
      <c r="F446" s="174" t="s">
        <v>1215</v>
      </c>
      <c r="G446" s="171"/>
      <c r="H446" s="171"/>
      <c r="I446" s="171"/>
      <c r="J446" s="171"/>
      <c r="K446" s="171"/>
      <c r="L446" s="171"/>
      <c r="M446" s="171"/>
      <c r="N446" s="171"/>
      <c r="O446" s="171"/>
      <c r="P446" s="171"/>
      <c r="Q446" s="171"/>
      <c r="R446" s="171"/>
      <c r="S446" s="171"/>
      <c r="T446" s="171"/>
      <c r="U446" s="171"/>
      <c r="V446" s="171"/>
      <c r="W446" s="171"/>
      <c r="X446" s="171"/>
      <c r="Y446" s="171"/>
      <c r="Z446" s="171"/>
      <c r="AA446" s="171"/>
    </row>
    <row r="447" spans="1:27" s="176" customFormat="1" ht="15">
      <c r="A447" s="171"/>
      <c r="B447" s="172">
        <v>531</v>
      </c>
      <c r="C447" s="173"/>
      <c r="D447" s="174" t="s">
        <v>241</v>
      </c>
      <c r="E447" s="174" t="s">
        <v>1216</v>
      </c>
      <c r="F447" s="174" t="s">
        <v>1216</v>
      </c>
      <c r="G447" s="171"/>
      <c r="H447" s="171"/>
      <c r="I447" s="171"/>
      <c r="J447" s="171"/>
      <c r="K447" s="171"/>
      <c r="L447" s="171"/>
      <c r="M447" s="171"/>
      <c r="N447" s="171"/>
      <c r="O447" s="171"/>
      <c r="P447" s="171"/>
      <c r="Q447" s="171"/>
      <c r="R447" s="171"/>
      <c r="S447" s="171"/>
      <c r="T447" s="171"/>
      <c r="U447" s="171"/>
      <c r="V447" s="171"/>
      <c r="W447" s="171"/>
      <c r="X447" s="171"/>
      <c r="Y447" s="171"/>
      <c r="Z447" s="171"/>
      <c r="AA447" s="171"/>
    </row>
    <row r="448" spans="1:27" s="176" customFormat="1" ht="45">
      <c r="A448" s="171"/>
      <c r="B448" s="172">
        <v>532</v>
      </c>
      <c r="C448" s="173"/>
      <c r="D448" s="174" t="s">
        <v>242</v>
      </c>
      <c r="E448" s="174" t="s">
        <v>1217</v>
      </c>
      <c r="F448" s="174" t="s">
        <v>1217</v>
      </c>
      <c r="G448" s="171"/>
      <c r="H448" s="171"/>
      <c r="I448" s="171"/>
      <c r="J448" s="171"/>
      <c r="K448" s="171"/>
      <c r="L448" s="171"/>
      <c r="M448" s="171"/>
      <c r="N448" s="171"/>
      <c r="O448" s="171"/>
      <c r="P448" s="171"/>
      <c r="Q448" s="171"/>
      <c r="R448" s="171"/>
      <c r="S448" s="171"/>
      <c r="T448" s="171"/>
      <c r="U448" s="171"/>
      <c r="V448" s="171"/>
      <c r="W448" s="171"/>
      <c r="X448" s="171"/>
      <c r="Y448" s="171"/>
      <c r="Z448" s="171"/>
      <c r="AA448" s="171"/>
    </row>
    <row r="449" spans="1:27" s="176" customFormat="1" ht="15">
      <c r="A449" s="171"/>
      <c r="B449" s="172">
        <v>533</v>
      </c>
      <c r="C449" s="173"/>
      <c r="D449" s="174" t="s">
        <v>243</v>
      </c>
      <c r="E449" s="174" t="s">
        <v>1218</v>
      </c>
      <c r="F449" s="174" t="s">
        <v>1218</v>
      </c>
      <c r="G449" s="171"/>
      <c r="H449" s="171"/>
      <c r="I449" s="171"/>
      <c r="J449" s="171"/>
      <c r="K449" s="171"/>
      <c r="L449" s="171"/>
      <c r="M449" s="171"/>
      <c r="N449" s="171"/>
      <c r="O449" s="171"/>
      <c r="P449" s="171"/>
      <c r="Q449" s="171"/>
      <c r="R449" s="171"/>
      <c r="S449" s="171"/>
      <c r="T449" s="171"/>
      <c r="U449" s="171"/>
      <c r="V449" s="171"/>
      <c r="W449" s="171"/>
      <c r="X449" s="171"/>
      <c r="Y449" s="171"/>
      <c r="Z449" s="171"/>
      <c r="AA449" s="171"/>
    </row>
    <row r="450" spans="1:27" s="176" customFormat="1" ht="26">
      <c r="A450" s="171"/>
      <c r="B450" s="172">
        <v>534</v>
      </c>
      <c r="C450" s="173"/>
      <c r="D450" s="174" t="s">
        <v>244</v>
      </c>
      <c r="E450" s="174" t="s">
        <v>1219</v>
      </c>
      <c r="F450" s="174" t="s">
        <v>1219</v>
      </c>
      <c r="G450" s="171"/>
      <c r="H450" s="171"/>
      <c r="I450" s="171"/>
      <c r="J450" s="171"/>
      <c r="K450" s="171"/>
      <c r="L450" s="171"/>
      <c r="M450" s="171"/>
      <c r="N450" s="171"/>
      <c r="O450" s="171"/>
      <c r="P450" s="171"/>
      <c r="Q450" s="171"/>
      <c r="R450" s="171"/>
      <c r="S450" s="171"/>
      <c r="T450" s="171"/>
      <c r="U450" s="171"/>
      <c r="V450" s="171"/>
      <c r="W450" s="171"/>
      <c r="X450" s="171"/>
      <c r="Y450" s="171"/>
      <c r="Z450" s="171"/>
      <c r="AA450" s="171"/>
    </row>
    <row r="451" spans="1:27" s="176" customFormat="1" ht="30">
      <c r="A451" s="171"/>
      <c r="B451" s="172">
        <v>535</v>
      </c>
      <c r="C451" s="173"/>
      <c r="D451" s="174" t="s">
        <v>245</v>
      </c>
      <c r="E451" s="174" t="s">
        <v>1220</v>
      </c>
      <c r="F451" s="174" t="s">
        <v>1220</v>
      </c>
      <c r="G451" s="171"/>
      <c r="H451" s="171"/>
      <c r="I451" s="171"/>
      <c r="J451" s="171"/>
      <c r="K451" s="171"/>
      <c r="L451" s="171"/>
      <c r="M451" s="171"/>
      <c r="N451" s="171"/>
      <c r="O451" s="171"/>
      <c r="P451" s="171"/>
      <c r="Q451" s="171"/>
      <c r="R451" s="171"/>
      <c r="S451" s="171"/>
      <c r="T451" s="171"/>
      <c r="U451" s="171"/>
      <c r="V451" s="171"/>
      <c r="W451" s="171"/>
      <c r="X451" s="171"/>
      <c r="Y451" s="171"/>
      <c r="Z451" s="171"/>
      <c r="AA451" s="171"/>
    </row>
    <row r="452" spans="1:27" s="176" customFormat="1" ht="30">
      <c r="A452" s="171"/>
      <c r="B452" s="172">
        <v>536</v>
      </c>
      <c r="C452" s="173"/>
      <c r="D452" s="174" t="s">
        <v>246</v>
      </c>
      <c r="E452" s="174" t="s">
        <v>1221</v>
      </c>
      <c r="F452" s="174" t="s">
        <v>1221</v>
      </c>
      <c r="G452" s="171"/>
      <c r="H452" s="171"/>
      <c r="I452" s="171"/>
      <c r="J452" s="171"/>
      <c r="K452" s="171"/>
      <c r="L452" s="171"/>
      <c r="M452" s="171"/>
      <c r="N452" s="171"/>
      <c r="O452" s="171"/>
      <c r="P452" s="171"/>
      <c r="Q452" s="171"/>
      <c r="R452" s="171"/>
      <c r="S452" s="171"/>
      <c r="T452" s="171"/>
      <c r="U452" s="171"/>
      <c r="V452" s="171"/>
      <c r="W452" s="171"/>
      <c r="X452" s="171"/>
      <c r="Y452" s="171"/>
      <c r="Z452" s="171"/>
      <c r="AA452" s="171"/>
    </row>
    <row r="453" spans="1:27" s="176" customFormat="1" ht="15">
      <c r="A453" s="171"/>
      <c r="B453" s="172">
        <v>537</v>
      </c>
      <c r="C453" s="173"/>
      <c r="D453" s="174" t="s">
        <v>247</v>
      </c>
      <c r="E453" s="174" t="s">
        <v>1222</v>
      </c>
      <c r="F453" s="174" t="s">
        <v>1222</v>
      </c>
      <c r="G453" s="171"/>
      <c r="H453" s="171"/>
      <c r="I453" s="171"/>
      <c r="J453" s="171"/>
      <c r="K453" s="171"/>
      <c r="L453" s="171"/>
      <c r="M453" s="171"/>
      <c r="N453" s="171"/>
      <c r="O453" s="171"/>
      <c r="P453" s="171"/>
      <c r="Q453" s="171"/>
      <c r="R453" s="171"/>
      <c r="S453" s="171"/>
      <c r="T453" s="171"/>
      <c r="U453" s="171"/>
      <c r="V453" s="171"/>
      <c r="W453" s="171"/>
      <c r="X453" s="171"/>
      <c r="Y453" s="171"/>
      <c r="Z453" s="171"/>
      <c r="AA453" s="171"/>
    </row>
    <row r="454" spans="1:27" s="176" customFormat="1" ht="15">
      <c r="A454" s="171"/>
      <c r="B454" s="172">
        <v>538</v>
      </c>
      <c r="C454" s="173"/>
      <c r="D454" s="174" t="s">
        <v>248</v>
      </c>
      <c r="E454" s="174" t="s">
        <v>1223</v>
      </c>
      <c r="F454" s="174" t="s">
        <v>1223</v>
      </c>
      <c r="G454" s="171"/>
      <c r="H454" s="171"/>
      <c r="I454" s="171"/>
      <c r="J454" s="171"/>
      <c r="K454" s="171"/>
      <c r="L454" s="171"/>
      <c r="M454" s="171"/>
      <c r="N454" s="171"/>
      <c r="O454" s="171"/>
      <c r="P454" s="171"/>
      <c r="Q454" s="171"/>
      <c r="R454" s="171"/>
      <c r="S454" s="171"/>
      <c r="T454" s="171"/>
      <c r="U454" s="171"/>
      <c r="V454" s="171"/>
      <c r="W454" s="171"/>
      <c r="X454" s="171"/>
      <c r="Y454" s="171"/>
      <c r="Z454" s="171"/>
      <c r="AA454" s="171"/>
    </row>
    <row r="455" spans="1:27" s="176" customFormat="1" ht="26">
      <c r="A455" s="171"/>
      <c r="B455" s="172">
        <v>539</v>
      </c>
      <c r="C455" s="173"/>
      <c r="D455" s="174" t="s">
        <v>249</v>
      </c>
      <c r="E455" s="174" t="s">
        <v>1224</v>
      </c>
      <c r="F455" s="174" t="s">
        <v>1224</v>
      </c>
      <c r="G455" s="171"/>
      <c r="H455" s="171"/>
      <c r="I455" s="171"/>
      <c r="J455" s="171"/>
      <c r="K455" s="171"/>
      <c r="L455" s="171"/>
      <c r="M455" s="171"/>
      <c r="N455" s="171"/>
      <c r="O455" s="171"/>
      <c r="P455" s="171"/>
      <c r="Q455" s="171"/>
      <c r="R455" s="171"/>
      <c r="S455" s="171"/>
      <c r="T455" s="171"/>
      <c r="U455" s="171"/>
      <c r="V455" s="171"/>
      <c r="W455" s="171"/>
      <c r="X455" s="171"/>
      <c r="Y455" s="171"/>
      <c r="Z455" s="171"/>
      <c r="AA455" s="171"/>
    </row>
    <row r="456" spans="1:27" s="176" customFormat="1" ht="15">
      <c r="A456" s="171"/>
      <c r="B456" s="172">
        <v>540</v>
      </c>
      <c r="C456" s="173"/>
      <c r="D456" s="174" t="s">
        <v>250</v>
      </c>
      <c r="E456" s="174" t="s">
        <v>1225</v>
      </c>
      <c r="F456" s="174" t="s">
        <v>1225</v>
      </c>
      <c r="G456" s="171"/>
      <c r="H456" s="171"/>
      <c r="I456" s="171"/>
      <c r="J456" s="171"/>
      <c r="K456" s="171"/>
      <c r="L456" s="171"/>
      <c r="M456" s="171"/>
      <c r="N456" s="171"/>
      <c r="O456" s="171"/>
      <c r="P456" s="171"/>
      <c r="Q456" s="171"/>
      <c r="R456" s="171"/>
      <c r="S456" s="171"/>
      <c r="T456" s="171"/>
      <c r="U456" s="171"/>
      <c r="V456" s="171"/>
      <c r="W456" s="171"/>
      <c r="X456" s="171"/>
      <c r="Y456" s="171"/>
      <c r="Z456" s="171"/>
      <c r="AA456" s="171"/>
    </row>
    <row r="457" spans="1:27" ht="15">
      <c r="B457" s="172">
        <v>541</v>
      </c>
      <c r="D457" s="174" t="s">
        <v>251</v>
      </c>
      <c r="E457" s="174" t="s">
        <v>1226</v>
      </c>
      <c r="F457" s="174" t="s">
        <v>1226</v>
      </c>
    </row>
    <row r="458" spans="1:27" ht="15">
      <c r="B458" s="172">
        <v>542</v>
      </c>
      <c r="D458" s="174" t="s">
        <v>252</v>
      </c>
      <c r="E458" s="174" t="s">
        <v>1227</v>
      </c>
      <c r="F458" s="174" t="s">
        <v>1227</v>
      </c>
    </row>
    <row r="459" spans="1:27" ht="26">
      <c r="B459" s="172">
        <v>543</v>
      </c>
      <c r="D459" s="174" t="s">
        <v>400</v>
      </c>
      <c r="E459" s="174" t="s">
        <v>1228</v>
      </c>
      <c r="F459" s="174" t="s">
        <v>1228</v>
      </c>
    </row>
    <row r="460" spans="1:27" ht="52">
      <c r="A460" s="175"/>
      <c r="B460" s="172">
        <v>544</v>
      </c>
      <c r="C460" s="181" t="s">
        <v>432</v>
      </c>
      <c r="D460" s="175" t="s">
        <v>445</v>
      </c>
      <c r="E460" s="175" t="s">
        <v>1229</v>
      </c>
      <c r="F460" s="175" t="s">
        <v>1229</v>
      </c>
    </row>
    <row r="461" spans="1:27" ht="45">
      <c r="B461" s="172">
        <v>545</v>
      </c>
      <c r="D461" s="174" t="s">
        <v>253</v>
      </c>
      <c r="E461" s="174" t="s">
        <v>1230</v>
      </c>
      <c r="F461" s="174" t="s">
        <v>1230</v>
      </c>
    </row>
    <row r="462" spans="1:27" ht="15">
      <c r="B462" s="172">
        <v>546</v>
      </c>
      <c r="D462" s="174" t="s">
        <v>254</v>
      </c>
      <c r="E462" s="174" t="s">
        <v>1231</v>
      </c>
      <c r="F462" s="174" t="s">
        <v>1231</v>
      </c>
    </row>
    <row r="463" spans="1:27" ht="15">
      <c r="B463" s="172">
        <v>547</v>
      </c>
      <c r="D463" s="174" t="s">
        <v>255</v>
      </c>
      <c r="E463" s="174" t="s">
        <v>1232</v>
      </c>
      <c r="F463" s="174" t="s">
        <v>1232</v>
      </c>
    </row>
    <row r="464" spans="1:27" ht="15">
      <c r="B464" s="172">
        <v>548</v>
      </c>
      <c r="D464" s="174" t="s">
        <v>256</v>
      </c>
      <c r="E464" s="174" t="s">
        <v>1233</v>
      </c>
      <c r="F464" s="174" t="s">
        <v>1233</v>
      </c>
    </row>
    <row r="465" spans="2:6" ht="26">
      <c r="B465" s="172">
        <v>549</v>
      </c>
      <c r="D465" s="174" t="s">
        <v>479</v>
      </c>
      <c r="E465" s="174" t="s">
        <v>1234</v>
      </c>
      <c r="F465" s="174" t="s">
        <v>1234</v>
      </c>
    </row>
    <row r="466" spans="2:6" ht="15">
      <c r="B466" s="172">
        <v>550</v>
      </c>
      <c r="D466" s="174" t="s">
        <v>257</v>
      </c>
      <c r="E466" s="174" t="s">
        <v>1235</v>
      </c>
      <c r="F466" s="174" t="s">
        <v>1235</v>
      </c>
    </row>
    <row r="467" spans="2:6" ht="15">
      <c r="B467" s="172">
        <v>551</v>
      </c>
      <c r="D467" s="174" t="s">
        <v>258</v>
      </c>
      <c r="E467" s="174" t="s">
        <v>1236</v>
      </c>
      <c r="F467" s="174" t="s">
        <v>1236</v>
      </c>
    </row>
    <row r="468" spans="2:6" ht="15">
      <c r="B468" s="172">
        <v>552</v>
      </c>
      <c r="D468" s="174" t="s">
        <v>259</v>
      </c>
      <c r="E468" s="174" t="s">
        <v>1237</v>
      </c>
      <c r="F468" s="174" t="s">
        <v>1237</v>
      </c>
    </row>
    <row r="469" spans="2:6" ht="26">
      <c r="B469" s="172">
        <v>553</v>
      </c>
      <c r="D469" s="174" t="s">
        <v>606</v>
      </c>
      <c r="E469" s="174" t="s">
        <v>1238</v>
      </c>
      <c r="F469" s="174" t="s">
        <v>1238</v>
      </c>
    </row>
    <row r="470" spans="2:6" ht="15">
      <c r="B470" s="172">
        <v>554</v>
      </c>
      <c r="D470" s="174" t="s">
        <v>607</v>
      </c>
      <c r="E470" s="174" t="s">
        <v>1239</v>
      </c>
      <c r="F470" s="174" t="s">
        <v>1239</v>
      </c>
    </row>
    <row r="471" spans="2:6" ht="15">
      <c r="B471" s="172">
        <v>555</v>
      </c>
      <c r="D471" s="174" t="s">
        <v>260</v>
      </c>
      <c r="E471" s="174" t="s">
        <v>1240</v>
      </c>
      <c r="F471" s="174" t="s">
        <v>1240</v>
      </c>
    </row>
    <row r="472" spans="2:6" ht="15">
      <c r="B472" s="172">
        <v>556</v>
      </c>
      <c r="D472" s="174" t="s">
        <v>401</v>
      </c>
      <c r="E472" s="174" t="s">
        <v>1241</v>
      </c>
      <c r="F472" s="174" t="s">
        <v>1241</v>
      </c>
    </row>
    <row r="473" spans="2:6" ht="26">
      <c r="B473" s="172">
        <v>557</v>
      </c>
      <c r="D473" s="174" t="s">
        <v>261</v>
      </c>
      <c r="E473" s="174" t="s">
        <v>1242</v>
      </c>
      <c r="F473" s="174" t="s">
        <v>1242</v>
      </c>
    </row>
    <row r="474" spans="2:6" ht="26">
      <c r="B474" s="172">
        <v>558</v>
      </c>
      <c r="D474" s="174" t="s">
        <v>402</v>
      </c>
      <c r="E474" s="174" t="s">
        <v>1243</v>
      </c>
      <c r="F474" s="174" t="s">
        <v>1243</v>
      </c>
    </row>
    <row r="475" spans="2:6" ht="30">
      <c r="B475" s="172">
        <v>559</v>
      </c>
      <c r="D475" s="174" t="s">
        <v>262</v>
      </c>
      <c r="E475" s="174" t="s">
        <v>1244</v>
      </c>
      <c r="F475" s="174" t="s">
        <v>1244</v>
      </c>
    </row>
    <row r="476" spans="2:6" ht="15">
      <c r="B476" s="172">
        <v>560</v>
      </c>
      <c r="D476" s="174" t="s">
        <v>263</v>
      </c>
      <c r="E476" s="174" t="s">
        <v>1245</v>
      </c>
      <c r="F476" s="174" t="s">
        <v>1245</v>
      </c>
    </row>
    <row r="477" spans="2:6" ht="15">
      <c r="B477" s="172">
        <v>561</v>
      </c>
      <c r="C477" s="173" t="s">
        <v>484</v>
      </c>
      <c r="D477" s="174" t="s">
        <v>483</v>
      </c>
      <c r="E477" s="174" t="s">
        <v>1246</v>
      </c>
      <c r="F477" s="174" t="s">
        <v>1246</v>
      </c>
    </row>
    <row r="478" spans="2:6" ht="30">
      <c r="B478" s="172">
        <v>562</v>
      </c>
      <c r="C478" s="173" t="s">
        <v>484</v>
      </c>
      <c r="D478" s="174" t="s">
        <v>480</v>
      </c>
      <c r="E478" s="174" t="s">
        <v>1247</v>
      </c>
      <c r="F478" s="174" t="s">
        <v>1247</v>
      </c>
    </row>
    <row r="479" spans="2:6" ht="15">
      <c r="B479" s="172">
        <v>563</v>
      </c>
      <c r="D479" s="174" t="s">
        <v>264</v>
      </c>
      <c r="E479" s="174" t="s">
        <v>1248</v>
      </c>
      <c r="F479" s="174" t="s">
        <v>1248</v>
      </c>
    </row>
    <row r="480" spans="2:6" ht="15">
      <c r="B480" s="172">
        <v>564</v>
      </c>
      <c r="D480" s="174" t="s">
        <v>265</v>
      </c>
      <c r="E480" s="174" t="s">
        <v>1249</v>
      </c>
      <c r="F480" s="174" t="s">
        <v>1249</v>
      </c>
    </row>
    <row r="481" spans="2:6" ht="39">
      <c r="B481" s="172">
        <v>565</v>
      </c>
      <c r="D481" s="174" t="s">
        <v>332</v>
      </c>
      <c r="E481" s="174" t="s">
        <v>1250</v>
      </c>
      <c r="F481" s="174" t="s">
        <v>1250</v>
      </c>
    </row>
    <row r="482" spans="2:6" ht="15">
      <c r="B482" s="172">
        <v>566</v>
      </c>
      <c r="D482" s="174" t="s">
        <v>266</v>
      </c>
      <c r="E482" s="174" t="s">
        <v>1251</v>
      </c>
      <c r="F482" s="174" t="s">
        <v>1251</v>
      </c>
    </row>
    <row r="483" spans="2:6" ht="15">
      <c r="B483" s="172">
        <v>567</v>
      </c>
      <c r="D483" s="174" t="s">
        <v>267</v>
      </c>
      <c r="E483" s="174" t="s">
        <v>1252</v>
      </c>
      <c r="F483" s="174" t="s">
        <v>1252</v>
      </c>
    </row>
    <row r="484" spans="2:6" ht="15">
      <c r="B484" s="172">
        <v>568</v>
      </c>
      <c r="D484" s="174" t="s">
        <v>268</v>
      </c>
      <c r="E484" s="174" t="s">
        <v>1253</v>
      </c>
      <c r="F484" s="174" t="s">
        <v>1253</v>
      </c>
    </row>
    <row r="485" spans="2:6" ht="15">
      <c r="B485" s="172">
        <v>569</v>
      </c>
      <c r="D485" s="174" t="s">
        <v>269</v>
      </c>
      <c r="E485" s="174" t="s">
        <v>1254</v>
      </c>
      <c r="F485" s="174" t="s">
        <v>1254</v>
      </c>
    </row>
    <row r="486" spans="2:6" ht="15">
      <c r="B486" s="172">
        <v>570</v>
      </c>
      <c r="D486" s="174" t="s">
        <v>270</v>
      </c>
      <c r="E486" s="174" t="s">
        <v>1255</v>
      </c>
      <c r="F486" s="174" t="s">
        <v>1255</v>
      </c>
    </row>
    <row r="487" spans="2:6" ht="39">
      <c r="B487" s="172">
        <v>571</v>
      </c>
      <c r="D487" s="174" t="s">
        <v>271</v>
      </c>
      <c r="E487" s="174" t="s">
        <v>1256</v>
      </c>
      <c r="F487" s="174" t="s">
        <v>1256</v>
      </c>
    </row>
    <row r="488" spans="2:6" ht="15">
      <c r="B488" s="172">
        <v>572</v>
      </c>
      <c r="D488" s="174" t="s">
        <v>272</v>
      </c>
      <c r="E488" s="174" t="s">
        <v>1257</v>
      </c>
      <c r="F488" s="174" t="s">
        <v>1257</v>
      </c>
    </row>
    <row r="489" spans="2:6" ht="15">
      <c r="B489" s="172">
        <v>573</v>
      </c>
      <c r="D489" s="174" t="s">
        <v>273</v>
      </c>
      <c r="E489" s="174" t="s">
        <v>1258</v>
      </c>
      <c r="F489" s="174" t="s">
        <v>1258</v>
      </c>
    </row>
    <row r="490" spans="2:6" ht="15">
      <c r="B490" s="172">
        <v>574</v>
      </c>
      <c r="D490" s="174" t="s">
        <v>274</v>
      </c>
      <c r="E490" s="174" t="s">
        <v>1259</v>
      </c>
      <c r="F490" s="174" t="s">
        <v>1259</v>
      </c>
    </row>
    <row r="491" spans="2:6" ht="30">
      <c r="B491" s="172">
        <v>575</v>
      </c>
      <c r="D491" s="174" t="s">
        <v>403</v>
      </c>
      <c r="E491" s="174" t="s">
        <v>1260</v>
      </c>
      <c r="F491" s="174" t="s">
        <v>1260</v>
      </c>
    </row>
    <row r="492" spans="2:6" ht="15">
      <c r="B492" s="172">
        <v>576</v>
      </c>
      <c r="D492" s="174" t="s">
        <v>275</v>
      </c>
      <c r="E492" s="174" t="s">
        <v>1261</v>
      </c>
      <c r="F492" s="174" t="s">
        <v>1261</v>
      </c>
    </row>
    <row r="493" spans="2:6" ht="15">
      <c r="B493" s="172">
        <v>577</v>
      </c>
      <c r="D493" s="174" t="s">
        <v>276</v>
      </c>
      <c r="E493" s="174" t="s">
        <v>1262</v>
      </c>
      <c r="F493" s="174" t="s">
        <v>1262</v>
      </c>
    </row>
    <row r="494" spans="2:6" ht="15">
      <c r="B494" s="172">
        <v>578</v>
      </c>
      <c r="D494" s="174" t="s">
        <v>612</v>
      </c>
      <c r="E494" s="174" t="s">
        <v>1263</v>
      </c>
      <c r="F494" s="174" t="s">
        <v>1263</v>
      </c>
    </row>
    <row r="495" spans="2:6" ht="15">
      <c r="B495" s="172">
        <v>579</v>
      </c>
      <c r="D495" s="174" t="s">
        <v>610</v>
      </c>
      <c r="E495" s="174" t="s">
        <v>1264</v>
      </c>
      <c r="F495" s="174" t="s">
        <v>1264</v>
      </c>
    </row>
    <row r="496" spans="2:6" ht="15">
      <c r="B496" s="172">
        <v>580</v>
      </c>
      <c r="D496" s="174" t="s">
        <v>277</v>
      </c>
      <c r="E496" s="174" t="s">
        <v>1265</v>
      </c>
      <c r="F496" s="174" t="s">
        <v>1265</v>
      </c>
    </row>
    <row r="497" spans="1:6" ht="15">
      <c r="B497" s="172">
        <v>581</v>
      </c>
      <c r="D497" s="174" t="s">
        <v>404</v>
      </c>
      <c r="E497" s="174" t="s">
        <v>1266</v>
      </c>
      <c r="F497" s="174" t="s">
        <v>1266</v>
      </c>
    </row>
    <row r="498" spans="1:6" ht="45">
      <c r="B498" s="172">
        <v>582</v>
      </c>
      <c r="D498" s="174" t="s">
        <v>405</v>
      </c>
      <c r="E498" s="174" t="s">
        <v>1267</v>
      </c>
      <c r="F498" s="174" t="s">
        <v>1267</v>
      </c>
    </row>
    <row r="499" spans="1:6" ht="15">
      <c r="B499" s="172">
        <v>583</v>
      </c>
      <c r="D499" s="174" t="s">
        <v>278</v>
      </c>
      <c r="E499" s="174" t="s">
        <v>1268</v>
      </c>
      <c r="F499" s="174" t="s">
        <v>1268</v>
      </c>
    </row>
    <row r="500" spans="1:6" ht="15">
      <c r="B500" s="172">
        <v>584</v>
      </c>
      <c r="D500" s="174" t="s">
        <v>279</v>
      </c>
      <c r="E500" s="174" t="s">
        <v>1269</v>
      </c>
      <c r="F500" s="174" t="s">
        <v>1269</v>
      </c>
    </row>
    <row r="501" spans="1:6" ht="14">
      <c r="B501" s="172">
        <v>585</v>
      </c>
      <c r="C501" s="173" t="s">
        <v>466</v>
      </c>
      <c r="D501" s="171" t="s">
        <v>461</v>
      </c>
      <c r="E501" s="179" t="s">
        <v>1270</v>
      </c>
      <c r="F501" s="179" t="s">
        <v>1270</v>
      </c>
    </row>
    <row r="502" spans="1:6" ht="14">
      <c r="B502" s="172">
        <v>586</v>
      </c>
      <c r="C502" s="173" t="s">
        <v>466</v>
      </c>
      <c r="D502" s="174" t="s">
        <v>459</v>
      </c>
      <c r="E502" s="179" t="s">
        <v>1271</v>
      </c>
      <c r="F502" s="179" t="s">
        <v>1271</v>
      </c>
    </row>
    <row r="503" spans="1:6" ht="15">
      <c r="B503" s="172">
        <v>587</v>
      </c>
      <c r="D503" s="174" t="s">
        <v>280</v>
      </c>
      <c r="E503" s="174" t="s">
        <v>1272</v>
      </c>
      <c r="F503" s="174" t="s">
        <v>1272</v>
      </c>
    </row>
    <row r="504" spans="1:6" ht="45">
      <c r="B504" s="172">
        <v>588</v>
      </c>
      <c r="D504" s="174" t="s">
        <v>281</v>
      </c>
      <c r="E504" s="174" t="s">
        <v>1273</v>
      </c>
      <c r="F504" s="174" t="s">
        <v>1273</v>
      </c>
    </row>
    <row r="505" spans="1:6" ht="15">
      <c r="B505" s="172">
        <v>589</v>
      </c>
      <c r="D505" s="174" t="s">
        <v>282</v>
      </c>
      <c r="E505" s="174" t="s">
        <v>1274</v>
      </c>
      <c r="F505" s="174" t="s">
        <v>1274</v>
      </c>
    </row>
    <row r="506" spans="1:6" ht="15">
      <c r="A506" s="176"/>
      <c r="B506" s="172">
        <v>590</v>
      </c>
      <c r="C506" s="177" t="s">
        <v>414</v>
      </c>
      <c r="D506" s="175" t="s">
        <v>420</v>
      </c>
      <c r="E506" s="175" t="s">
        <v>1275</v>
      </c>
      <c r="F506" s="175" t="s">
        <v>1275</v>
      </c>
    </row>
    <row r="507" spans="1:6" ht="15">
      <c r="A507" s="176"/>
      <c r="B507" s="172">
        <v>591</v>
      </c>
      <c r="C507" s="177" t="s">
        <v>414</v>
      </c>
      <c r="D507" s="175" t="s">
        <v>446</v>
      </c>
      <c r="E507" s="175" t="s">
        <v>1276</v>
      </c>
      <c r="F507" s="175" t="s">
        <v>1276</v>
      </c>
    </row>
    <row r="508" spans="1:6" ht="15">
      <c r="B508" s="172">
        <v>592</v>
      </c>
      <c r="D508" s="174" t="s">
        <v>283</v>
      </c>
      <c r="E508" s="175" t="s">
        <v>1277</v>
      </c>
      <c r="F508" s="175" t="s">
        <v>1277</v>
      </c>
    </row>
    <row r="509" spans="1:6" ht="15">
      <c r="B509" s="172">
        <v>593</v>
      </c>
      <c r="D509" s="174" t="s">
        <v>284</v>
      </c>
      <c r="E509" s="174" t="s">
        <v>1278</v>
      </c>
      <c r="F509" s="174" t="s">
        <v>1278</v>
      </c>
    </row>
    <row r="510" spans="1:6" ht="15">
      <c r="B510" s="172">
        <v>594</v>
      </c>
      <c r="D510" s="174" t="s">
        <v>285</v>
      </c>
      <c r="E510" s="174" t="s">
        <v>1279</v>
      </c>
      <c r="F510" s="174" t="s">
        <v>1279</v>
      </c>
    </row>
    <row r="511" spans="1:6" ht="26">
      <c r="B511" s="172">
        <v>595</v>
      </c>
      <c r="D511" s="174" t="s">
        <v>286</v>
      </c>
      <c r="E511" s="174" t="s">
        <v>1280</v>
      </c>
      <c r="F511" s="174" t="s">
        <v>1280</v>
      </c>
    </row>
    <row r="512" spans="1:6" ht="15">
      <c r="B512" s="172">
        <v>596</v>
      </c>
      <c r="D512" s="174" t="s">
        <v>287</v>
      </c>
      <c r="E512" s="174" t="s">
        <v>1281</v>
      </c>
      <c r="F512" s="174" t="s">
        <v>1281</v>
      </c>
    </row>
    <row r="513" spans="2:6" ht="39">
      <c r="B513" s="172">
        <v>597</v>
      </c>
      <c r="D513" s="174" t="s">
        <v>288</v>
      </c>
      <c r="E513" s="174" t="s">
        <v>1282</v>
      </c>
      <c r="F513" s="174" t="s">
        <v>1282</v>
      </c>
    </row>
    <row r="514" spans="2:6" ht="15">
      <c r="B514" s="172">
        <v>598</v>
      </c>
      <c r="D514" s="174" t="s">
        <v>289</v>
      </c>
      <c r="E514" s="174" t="s">
        <v>1283</v>
      </c>
      <c r="F514" s="174" t="s">
        <v>1283</v>
      </c>
    </row>
    <row r="515" spans="2:6" ht="15">
      <c r="B515" s="172">
        <v>599</v>
      </c>
      <c r="D515" s="174" t="s">
        <v>290</v>
      </c>
      <c r="E515" s="174" t="s">
        <v>1284</v>
      </c>
      <c r="F515" s="174" t="s">
        <v>1284</v>
      </c>
    </row>
    <row r="516" spans="2:6" ht="15">
      <c r="B516" s="172">
        <v>600</v>
      </c>
      <c r="D516" s="174" t="s">
        <v>291</v>
      </c>
      <c r="E516" s="174" t="s">
        <v>1285</v>
      </c>
      <c r="F516" s="174" t="s">
        <v>1285</v>
      </c>
    </row>
    <row r="517" spans="2:6" ht="15">
      <c r="B517" s="172">
        <v>601</v>
      </c>
      <c r="D517" s="174" t="s">
        <v>292</v>
      </c>
      <c r="E517" s="174" t="s">
        <v>1286</v>
      </c>
      <c r="F517" s="174" t="s">
        <v>1286</v>
      </c>
    </row>
    <row r="518" spans="2:6" ht="15">
      <c r="B518" s="172">
        <v>602</v>
      </c>
      <c r="D518" s="174" t="s">
        <v>293</v>
      </c>
      <c r="E518" s="174" t="s">
        <v>1287</v>
      </c>
      <c r="F518" s="174" t="s">
        <v>1287</v>
      </c>
    </row>
    <row r="519" spans="2:6" ht="15">
      <c r="B519" s="172">
        <v>603</v>
      </c>
      <c r="D519" s="174" t="s">
        <v>294</v>
      </c>
      <c r="E519" s="174" t="s">
        <v>1288</v>
      </c>
      <c r="F519" s="174" t="s">
        <v>1288</v>
      </c>
    </row>
    <row r="520" spans="2:6" ht="13">
      <c r="B520" s="172">
        <v>604</v>
      </c>
      <c r="D520" s="174" t="s">
        <v>295</v>
      </c>
      <c r="E520" s="174" t="s">
        <v>295</v>
      </c>
      <c r="F520" s="174" t="s">
        <v>295</v>
      </c>
    </row>
    <row r="521" spans="2:6" ht="15">
      <c r="B521" s="172">
        <v>605</v>
      </c>
      <c r="D521" s="174" t="s">
        <v>406</v>
      </c>
      <c r="E521" s="174" t="s">
        <v>1289</v>
      </c>
      <c r="F521" s="174" t="s">
        <v>1289</v>
      </c>
    </row>
    <row r="522" spans="2:6" ht="30">
      <c r="B522" s="172">
        <v>606</v>
      </c>
      <c r="D522" s="174" t="s">
        <v>296</v>
      </c>
      <c r="E522" s="174" t="s">
        <v>1290</v>
      </c>
      <c r="F522" s="174" t="s">
        <v>1290</v>
      </c>
    </row>
    <row r="523" spans="2:6" ht="13">
      <c r="B523" s="172">
        <v>607</v>
      </c>
      <c r="D523" s="174" t="s">
        <v>297</v>
      </c>
      <c r="E523" s="174" t="s">
        <v>297</v>
      </c>
      <c r="F523" s="174" t="s">
        <v>297</v>
      </c>
    </row>
    <row r="524" spans="2:6" ht="15">
      <c r="B524" s="172">
        <v>608</v>
      </c>
      <c r="D524" s="174" t="s">
        <v>595</v>
      </c>
      <c r="E524" s="174" t="s">
        <v>1291</v>
      </c>
      <c r="F524" s="174" t="s">
        <v>1291</v>
      </c>
    </row>
    <row r="525" spans="2:6" ht="15">
      <c r="B525" s="172">
        <v>609</v>
      </c>
      <c r="D525" s="174" t="s">
        <v>594</v>
      </c>
      <c r="E525" s="174" t="s">
        <v>1292</v>
      </c>
      <c r="F525" s="174" t="s">
        <v>1292</v>
      </c>
    </row>
    <row r="526" spans="2:6" ht="13">
      <c r="B526" s="172">
        <v>610</v>
      </c>
      <c r="D526" s="174" t="s">
        <v>407</v>
      </c>
      <c r="F526" s="174"/>
    </row>
    <row r="527" spans="2:6" ht="15">
      <c r="B527" s="172">
        <v>611</v>
      </c>
      <c r="D527" s="174" t="s">
        <v>298</v>
      </c>
      <c r="E527" s="174" t="s">
        <v>1293</v>
      </c>
      <c r="F527" s="174" t="s">
        <v>1293</v>
      </c>
    </row>
    <row r="528" spans="2:6" ht="15">
      <c r="B528" s="172">
        <v>612</v>
      </c>
      <c r="C528" s="173" t="s">
        <v>484</v>
      </c>
      <c r="D528" s="174" t="s">
        <v>486</v>
      </c>
      <c r="E528" s="174" t="s">
        <v>1294</v>
      </c>
      <c r="F528" s="174" t="s">
        <v>1294</v>
      </c>
    </row>
    <row r="529" spans="2:6" ht="15">
      <c r="B529" s="172">
        <v>613</v>
      </c>
      <c r="D529" s="174" t="s">
        <v>408</v>
      </c>
      <c r="E529" s="174" t="s">
        <v>1295</v>
      </c>
      <c r="F529" s="174" t="s">
        <v>1295</v>
      </c>
    </row>
    <row r="530" spans="2:6" ht="15">
      <c r="B530" s="172">
        <v>614</v>
      </c>
      <c r="D530" s="174" t="s">
        <v>409</v>
      </c>
      <c r="E530" s="174" t="s">
        <v>1296</v>
      </c>
      <c r="F530" s="174" t="s">
        <v>1296</v>
      </c>
    </row>
    <row r="531" spans="2:6" ht="15">
      <c r="B531" s="172">
        <v>615</v>
      </c>
      <c r="D531" s="174" t="s">
        <v>410</v>
      </c>
      <c r="E531" s="174" t="s">
        <v>1295</v>
      </c>
      <c r="F531" s="174" t="s">
        <v>1295</v>
      </c>
    </row>
    <row r="532" spans="2:6" ht="15">
      <c r="B532" s="172">
        <v>616</v>
      </c>
      <c r="D532" s="174" t="s">
        <v>299</v>
      </c>
      <c r="E532" s="174" t="s">
        <v>1297</v>
      </c>
      <c r="F532" s="174" t="s">
        <v>1297</v>
      </c>
    </row>
    <row r="533" spans="2:6" ht="15">
      <c r="B533" s="172">
        <v>617</v>
      </c>
      <c r="D533" s="174" t="s">
        <v>300</v>
      </c>
      <c r="E533" s="174" t="s">
        <v>1298</v>
      </c>
      <c r="F533" s="174" t="s">
        <v>1298</v>
      </c>
    </row>
    <row r="534" spans="2:6" ht="15">
      <c r="B534" s="172">
        <v>618</v>
      </c>
      <c r="D534" s="174" t="s">
        <v>301</v>
      </c>
      <c r="E534" s="174" t="s">
        <v>1299</v>
      </c>
      <c r="F534" s="174" t="s">
        <v>1299</v>
      </c>
    </row>
    <row r="535" spans="2:6" ht="15">
      <c r="B535" s="172">
        <v>619</v>
      </c>
      <c r="D535" s="174" t="s">
        <v>617</v>
      </c>
      <c r="E535" s="174" t="s">
        <v>1300</v>
      </c>
      <c r="F535" s="174" t="s">
        <v>1300</v>
      </c>
    </row>
    <row r="536" spans="2:6" ht="15">
      <c r="B536" s="172">
        <v>620</v>
      </c>
      <c r="D536" s="174" t="s">
        <v>616</v>
      </c>
      <c r="E536" s="174" t="s">
        <v>1301</v>
      </c>
      <c r="F536" s="174" t="s">
        <v>1301</v>
      </c>
    </row>
    <row r="537" spans="2:6" ht="26">
      <c r="B537" s="172">
        <v>621</v>
      </c>
      <c r="C537" s="173" t="s">
        <v>543</v>
      </c>
      <c r="D537" s="174" t="s">
        <v>553</v>
      </c>
      <c r="E537" s="174" t="s">
        <v>1302</v>
      </c>
      <c r="F537" s="174" t="s">
        <v>1302</v>
      </c>
    </row>
    <row r="538" spans="2:6" ht="39">
      <c r="B538" s="172">
        <v>622</v>
      </c>
      <c r="C538" s="173" t="s">
        <v>543</v>
      </c>
      <c r="D538" s="174" t="s">
        <v>568</v>
      </c>
      <c r="E538" s="174" t="s">
        <v>1303</v>
      </c>
      <c r="F538" s="174" t="s">
        <v>1303</v>
      </c>
    </row>
    <row r="539" spans="2:6" ht="15">
      <c r="B539" s="172">
        <v>623</v>
      </c>
      <c r="D539" s="174" t="s">
        <v>302</v>
      </c>
      <c r="E539" s="174" t="s">
        <v>1304</v>
      </c>
      <c r="F539" s="174" t="s">
        <v>1304</v>
      </c>
    </row>
    <row r="540" spans="2:6" ht="15">
      <c r="B540" s="172">
        <v>624</v>
      </c>
      <c r="D540" s="174" t="s">
        <v>596</v>
      </c>
      <c r="E540" s="174" t="s">
        <v>1305</v>
      </c>
      <c r="F540" s="174" t="s">
        <v>1305</v>
      </c>
    </row>
    <row r="541" spans="2:6" ht="13">
      <c r="B541" s="172">
        <v>625</v>
      </c>
      <c r="D541" s="174" t="s">
        <v>538</v>
      </c>
      <c r="E541" s="174" t="s">
        <v>538</v>
      </c>
      <c r="F541" s="174" t="s">
        <v>538</v>
      </c>
    </row>
    <row r="542" spans="2:6" ht="13">
      <c r="B542" s="172">
        <v>626</v>
      </c>
      <c r="D542" s="174" t="s">
        <v>303</v>
      </c>
      <c r="F542" s="174"/>
    </row>
    <row r="543" spans="2:6" ht="13">
      <c r="B543" s="172">
        <v>627</v>
      </c>
      <c r="D543" s="174" t="s">
        <v>304</v>
      </c>
      <c r="F543" s="174"/>
    </row>
    <row r="544" spans="2:6" ht="13">
      <c r="B544" s="172">
        <v>628</v>
      </c>
      <c r="D544" s="174" t="s">
        <v>536</v>
      </c>
      <c r="E544" s="174" t="s">
        <v>537</v>
      </c>
      <c r="F544" s="174" t="s">
        <v>537</v>
      </c>
    </row>
    <row r="545" spans="1:6" ht="15">
      <c r="B545" s="172">
        <v>629</v>
      </c>
      <c r="D545" s="174" t="s">
        <v>305</v>
      </c>
      <c r="E545" s="174" t="s">
        <v>1306</v>
      </c>
      <c r="F545" s="174" t="s">
        <v>1306</v>
      </c>
    </row>
    <row r="546" spans="1:6" ht="15">
      <c r="B546" s="172">
        <v>630</v>
      </c>
      <c r="D546" s="174" t="s">
        <v>411</v>
      </c>
      <c r="E546" s="174" t="s">
        <v>1307</v>
      </c>
      <c r="F546" s="174" t="s">
        <v>1307</v>
      </c>
    </row>
    <row r="547" spans="1:6" ht="15">
      <c r="B547" s="172">
        <v>631</v>
      </c>
      <c r="D547" s="174" t="s">
        <v>306</v>
      </c>
      <c r="E547" s="174" t="s">
        <v>1308</v>
      </c>
      <c r="F547" s="174" t="s">
        <v>1308</v>
      </c>
    </row>
    <row r="548" spans="1:6" ht="15">
      <c r="B548" s="172">
        <v>632</v>
      </c>
      <c r="D548" s="174" t="s">
        <v>340</v>
      </c>
      <c r="E548" s="174" t="s">
        <v>1309</v>
      </c>
      <c r="F548" s="174" t="s">
        <v>1309</v>
      </c>
    </row>
    <row r="549" spans="1:6" ht="15">
      <c r="B549" s="172">
        <v>633</v>
      </c>
      <c r="D549" s="174" t="s">
        <v>307</v>
      </c>
      <c r="E549" s="174" t="s">
        <v>1308</v>
      </c>
      <c r="F549" s="174" t="s">
        <v>1308</v>
      </c>
    </row>
    <row r="550" spans="1:6" ht="30">
      <c r="A550" s="175"/>
      <c r="B550" s="172">
        <v>634</v>
      </c>
      <c r="C550" s="175"/>
      <c r="D550" s="175" t="s">
        <v>447</v>
      </c>
      <c r="E550" s="175" t="s">
        <v>1310</v>
      </c>
      <c r="F550" s="175" t="s">
        <v>1310</v>
      </c>
    </row>
    <row r="551" spans="1:6" ht="15">
      <c r="B551" s="172">
        <v>635</v>
      </c>
      <c r="C551" s="173" t="s">
        <v>543</v>
      </c>
      <c r="D551" s="174" t="s">
        <v>550</v>
      </c>
      <c r="E551" s="174" t="s">
        <v>1311</v>
      </c>
      <c r="F551" s="174" t="s">
        <v>1311</v>
      </c>
    </row>
    <row r="552" spans="1:6" ht="15">
      <c r="B552" s="172">
        <v>636</v>
      </c>
      <c r="C552" s="173" t="s">
        <v>543</v>
      </c>
      <c r="D552" s="174" t="s">
        <v>642</v>
      </c>
      <c r="E552" s="174" t="s">
        <v>1312</v>
      </c>
      <c r="F552" s="174" t="s">
        <v>1312</v>
      </c>
    </row>
    <row r="553" spans="1:6" ht="13">
      <c r="B553" s="172">
        <v>637</v>
      </c>
      <c r="D553" s="174" t="s">
        <v>308</v>
      </c>
      <c r="E553" s="174" t="s">
        <v>308</v>
      </c>
      <c r="F553" s="174" t="s">
        <v>308</v>
      </c>
    </row>
    <row r="554" spans="1:6" ht="15">
      <c r="B554" s="172">
        <v>638</v>
      </c>
      <c r="D554" s="174" t="s">
        <v>309</v>
      </c>
      <c r="E554" s="174" t="s">
        <v>1313</v>
      </c>
      <c r="F554" s="174" t="s">
        <v>1313</v>
      </c>
    </row>
    <row r="555" spans="1:6" ht="15">
      <c r="B555" s="172">
        <v>639</v>
      </c>
      <c r="D555" s="174" t="s">
        <v>310</v>
      </c>
      <c r="E555" s="174" t="s">
        <v>1314</v>
      </c>
      <c r="F555" s="174" t="s">
        <v>1314</v>
      </c>
    </row>
    <row r="556" spans="1:6" ht="15">
      <c r="B556" s="172">
        <v>640</v>
      </c>
      <c r="D556" s="174" t="s">
        <v>412</v>
      </c>
      <c r="E556" s="174" t="s">
        <v>1315</v>
      </c>
      <c r="F556" s="174" t="s">
        <v>1315</v>
      </c>
    </row>
    <row r="557" spans="1:6" ht="26">
      <c r="B557" s="172">
        <v>641</v>
      </c>
      <c r="C557" s="173" t="s">
        <v>543</v>
      </c>
      <c r="D557" s="174" t="s">
        <v>569</v>
      </c>
      <c r="E557" s="174" t="s">
        <v>1316</v>
      </c>
      <c r="F557" s="174" t="s">
        <v>1316</v>
      </c>
    </row>
    <row r="558" spans="1:6" ht="15">
      <c r="B558" s="172">
        <v>642</v>
      </c>
      <c r="D558" s="174" t="s">
        <v>311</v>
      </c>
      <c r="E558" s="174" t="s">
        <v>1317</v>
      </c>
      <c r="F558" s="174" t="s">
        <v>1317</v>
      </c>
    </row>
    <row r="559" spans="1:6" ht="45">
      <c r="B559" s="172">
        <v>643</v>
      </c>
      <c r="C559" s="173" t="s">
        <v>543</v>
      </c>
      <c r="D559" s="174" t="s">
        <v>576</v>
      </c>
      <c r="E559" s="174" t="s">
        <v>1318</v>
      </c>
      <c r="F559" s="174" t="s">
        <v>1318</v>
      </c>
    </row>
    <row r="560" spans="1:6" ht="15">
      <c r="B560" s="172">
        <v>644</v>
      </c>
      <c r="D560" s="174" t="s">
        <v>312</v>
      </c>
      <c r="E560" s="174" t="s">
        <v>1319</v>
      </c>
      <c r="F560" s="174" t="s">
        <v>1319</v>
      </c>
    </row>
    <row r="561" spans="2:27" ht="15">
      <c r="B561" s="172">
        <v>645</v>
      </c>
      <c r="D561" s="174" t="s">
        <v>313</v>
      </c>
      <c r="E561" s="174" t="s">
        <v>1320</v>
      </c>
      <c r="F561" s="174" t="s">
        <v>1320</v>
      </c>
    </row>
    <row r="562" spans="2:27" ht="15">
      <c r="B562" s="172">
        <v>646</v>
      </c>
      <c r="D562" s="174" t="s">
        <v>413</v>
      </c>
      <c r="E562" s="174" t="s">
        <v>1321</v>
      </c>
      <c r="F562" s="174" t="s">
        <v>1321</v>
      </c>
    </row>
    <row r="563" spans="2:27" ht="30">
      <c r="B563" s="172">
        <v>647</v>
      </c>
      <c r="D563" s="174" t="s">
        <v>314</v>
      </c>
      <c r="E563" s="174" t="s">
        <v>1322</v>
      </c>
      <c r="F563" s="174" t="s">
        <v>1322</v>
      </c>
    </row>
    <row r="564" spans="2:27" ht="15">
      <c r="B564" s="172">
        <v>648</v>
      </c>
      <c r="D564" s="174" t="s">
        <v>315</v>
      </c>
      <c r="E564" s="174" t="s">
        <v>1320</v>
      </c>
      <c r="F564" s="174" t="s">
        <v>1320</v>
      </c>
    </row>
    <row r="565" spans="2:27" ht="15">
      <c r="B565" s="172">
        <v>649</v>
      </c>
      <c r="D565" s="174" t="s">
        <v>316</v>
      </c>
      <c r="E565" s="174" t="s">
        <v>1323</v>
      </c>
      <c r="F565" s="174" t="s">
        <v>1323</v>
      </c>
    </row>
    <row r="566" spans="2:27" ht="15">
      <c r="B566" s="172">
        <v>650</v>
      </c>
      <c r="D566" s="174" t="s">
        <v>317</v>
      </c>
      <c r="E566" s="174" t="s">
        <v>1324</v>
      </c>
      <c r="F566" s="174" t="s">
        <v>1324</v>
      </c>
    </row>
    <row r="567" spans="2:27" ht="15">
      <c r="B567" s="172">
        <v>651</v>
      </c>
      <c r="D567" s="174" t="s">
        <v>318</v>
      </c>
      <c r="E567" s="174" t="s">
        <v>1325</v>
      </c>
      <c r="F567" s="174" t="s">
        <v>1325</v>
      </c>
    </row>
    <row r="568" spans="2:27" ht="15">
      <c r="B568" s="172">
        <v>652</v>
      </c>
      <c r="D568" s="174" t="s">
        <v>319</v>
      </c>
      <c r="E568" s="174" t="s">
        <v>1326</v>
      </c>
      <c r="F568" s="174" t="s">
        <v>1326</v>
      </c>
      <c r="G568" s="175"/>
      <c r="H568" s="175"/>
      <c r="I568" s="175"/>
      <c r="J568" s="175"/>
      <c r="K568" s="175"/>
      <c r="L568" s="175"/>
      <c r="M568" s="175"/>
      <c r="N568" s="175"/>
      <c r="O568" s="175"/>
      <c r="P568" s="175"/>
      <c r="Q568" s="175"/>
      <c r="R568" s="175"/>
      <c r="S568" s="175"/>
      <c r="T568" s="175"/>
      <c r="U568" s="175"/>
      <c r="V568" s="175"/>
      <c r="W568" s="175"/>
      <c r="X568" s="175"/>
      <c r="Y568" s="175"/>
      <c r="Z568" s="175"/>
      <c r="AA568" s="175"/>
    </row>
    <row r="569" spans="2:27" ht="26">
      <c r="B569" s="172">
        <v>653</v>
      </c>
      <c r="D569" s="174" t="s">
        <v>320</v>
      </c>
      <c r="E569" s="174" t="s">
        <v>1327</v>
      </c>
      <c r="F569" s="174" t="s">
        <v>1327</v>
      </c>
      <c r="G569" s="175"/>
      <c r="H569" s="175"/>
      <c r="I569" s="175"/>
      <c r="J569" s="175"/>
      <c r="K569" s="175"/>
      <c r="L569" s="175"/>
      <c r="M569" s="175"/>
      <c r="N569" s="175"/>
      <c r="O569" s="175"/>
      <c r="P569" s="175"/>
      <c r="Q569" s="175"/>
      <c r="R569" s="175"/>
      <c r="S569" s="175"/>
      <c r="T569" s="175"/>
      <c r="U569" s="175"/>
      <c r="V569" s="175"/>
      <c r="W569" s="175"/>
      <c r="X569" s="175"/>
      <c r="Y569" s="175"/>
      <c r="Z569" s="175"/>
      <c r="AA569" s="175"/>
    </row>
    <row r="570" spans="2:27" ht="15">
      <c r="B570" s="172">
        <v>654</v>
      </c>
      <c r="D570" s="174" t="s">
        <v>321</v>
      </c>
      <c r="E570" s="174" t="s">
        <v>1319</v>
      </c>
      <c r="F570" s="174" t="s">
        <v>1319</v>
      </c>
      <c r="G570" s="176"/>
      <c r="H570" s="176"/>
      <c r="I570" s="176"/>
      <c r="J570" s="176"/>
      <c r="K570" s="176"/>
      <c r="L570" s="176"/>
      <c r="M570" s="176"/>
      <c r="N570" s="176"/>
      <c r="O570" s="176"/>
      <c r="P570" s="176"/>
      <c r="Q570" s="176"/>
      <c r="R570" s="176"/>
      <c r="S570" s="176"/>
      <c r="T570" s="176"/>
      <c r="U570" s="176"/>
      <c r="V570" s="176"/>
      <c r="W570" s="176"/>
      <c r="X570" s="176"/>
      <c r="Y570" s="176"/>
      <c r="Z570" s="176"/>
      <c r="AA570" s="176"/>
    </row>
    <row r="571" spans="2:27" ht="15">
      <c r="B571" s="172">
        <v>655</v>
      </c>
      <c r="C571" s="173" t="s">
        <v>543</v>
      </c>
      <c r="D571" s="174" t="s">
        <v>570</v>
      </c>
      <c r="E571" s="174" t="s">
        <v>1328</v>
      </c>
      <c r="F571" s="174" t="s">
        <v>1328</v>
      </c>
    </row>
    <row r="572" spans="2:27" ht="30">
      <c r="B572" s="172">
        <v>656</v>
      </c>
      <c r="D572" s="174" t="s">
        <v>322</v>
      </c>
      <c r="E572" s="174" t="s">
        <v>1329</v>
      </c>
      <c r="F572" s="174" t="s">
        <v>1329</v>
      </c>
      <c r="G572" s="176"/>
      <c r="H572" s="176"/>
      <c r="I572" s="176"/>
      <c r="J572" s="176"/>
      <c r="K572" s="176"/>
      <c r="L572" s="176"/>
      <c r="M572" s="176"/>
      <c r="N572" s="176"/>
      <c r="O572" s="176"/>
      <c r="P572" s="176"/>
      <c r="Q572" s="176"/>
      <c r="R572" s="176"/>
      <c r="S572" s="176"/>
      <c r="T572" s="176"/>
      <c r="U572" s="176"/>
      <c r="V572" s="176"/>
      <c r="W572" s="176"/>
      <c r="X572" s="176"/>
      <c r="Y572" s="176"/>
      <c r="Z572" s="176"/>
      <c r="AA572" s="176"/>
    </row>
    <row r="573" spans="2:27" ht="45">
      <c r="B573" s="172">
        <v>657</v>
      </c>
      <c r="D573" s="174" t="s">
        <v>323</v>
      </c>
      <c r="E573" s="174" t="s">
        <v>1330</v>
      </c>
      <c r="F573" s="174" t="s">
        <v>1330</v>
      </c>
      <c r="G573" s="176"/>
      <c r="H573" s="176"/>
      <c r="I573" s="176"/>
      <c r="J573" s="176"/>
      <c r="K573" s="176"/>
      <c r="L573" s="176"/>
      <c r="M573" s="176"/>
      <c r="N573" s="176"/>
      <c r="O573" s="176"/>
      <c r="P573" s="176"/>
      <c r="Q573" s="176"/>
      <c r="R573" s="176"/>
      <c r="S573" s="176"/>
      <c r="T573" s="176"/>
      <c r="U573" s="176"/>
      <c r="V573" s="176"/>
      <c r="W573" s="176"/>
      <c r="X573" s="176"/>
      <c r="Y573" s="176"/>
      <c r="Z573" s="176"/>
      <c r="AA573" s="176"/>
    </row>
    <row r="574" spans="2:27" ht="15">
      <c r="B574" s="172">
        <v>658</v>
      </c>
      <c r="D574" s="174" t="s">
        <v>324</v>
      </c>
      <c r="E574" s="174" t="s">
        <v>1331</v>
      </c>
      <c r="F574" s="174" t="s">
        <v>1331</v>
      </c>
      <c r="G574" s="176"/>
      <c r="H574" s="176"/>
      <c r="I574" s="176"/>
      <c r="J574" s="176"/>
      <c r="K574" s="176"/>
      <c r="L574" s="176"/>
      <c r="M574" s="176"/>
      <c r="N574" s="176"/>
      <c r="O574" s="176"/>
      <c r="P574" s="176"/>
      <c r="Q574" s="176"/>
      <c r="R574" s="176"/>
      <c r="S574" s="176"/>
      <c r="T574" s="176"/>
      <c r="U574" s="176"/>
      <c r="V574" s="176"/>
      <c r="W574" s="176"/>
      <c r="X574" s="176"/>
      <c r="Y574" s="176"/>
      <c r="Z574" s="176"/>
      <c r="AA574" s="176"/>
    </row>
    <row r="575" spans="2:27" ht="45">
      <c r="B575" s="172">
        <v>659</v>
      </c>
      <c r="D575" s="174" t="s">
        <v>325</v>
      </c>
      <c r="E575" s="174" t="s">
        <v>1332</v>
      </c>
      <c r="F575" s="174" t="s">
        <v>1332</v>
      </c>
      <c r="G575" s="176"/>
      <c r="H575" s="176"/>
      <c r="I575" s="176"/>
      <c r="J575" s="176"/>
      <c r="K575" s="176"/>
      <c r="L575" s="176"/>
      <c r="M575" s="176"/>
      <c r="N575" s="176"/>
      <c r="O575" s="176"/>
      <c r="P575" s="176"/>
      <c r="Q575" s="176"/>
      <c r="R575" s="176"/>
      <c r="S575" s="176"/>
      <c r="T575" s="176"/>
      <c r="U575" s="176"/>
      <c r="V575" s="176"/>
      <c r="W575" s="176"/>
      <c r="X575" s="176"/>
      <c r="Y575" s="176"/>
      <c r="Z575" s="176"/>
      <c r="AA575" s="176"/>
    </row>
    <row r="576" spans="2:27" ht="15">
      <c r="B576" s="172">
        <v>660</v>
      </c>
      <c r="D576" s="174" t="s">
        <v>326</v>
      </c>
      <c r="E576" s="174" t="s">
        <v>1333</v>
      </c>
      <c r="F576" s="174" t="s">
        <v>1333</v>
      </c>
      <c r="G576" s="176"/>
      <c r="H576" s="176"/>
      <c r="I576" s="176"/>
      <c r="J576" s="176"/>
      <c r="K576" s="176"/>
      <c r="L576" s="176"/>
      <c r="M576" s="176"/>
      <c r="N576" s="176"/>
      <c r="O576" s="176"/>
      <c r="P576" s="176"/>
      <c r="Q576" s="176"/>
      <c r="R576" s="176"/>
      <c r="S576" s="176"/>
      <c r="T576" s="176"/>
      <c r="U576" s="176"/>
      <c r="V576" s="176"/>
      <c r="W576" s="176"/>
      <c r="X576" s="176"/>
      <c r="Y576" s="176"/>
      <c r="Z576" s="176"/>
      <c r="AA576" s="176"/>
    </row>
    <row r="577" spans="2:27" ht="15">
      <c r="B577" s="172">
        <v>661</v>
      </c>
      <c r="D577" s="174" t="s">
        <v>327</v>
      </c>
      <c r="E577" s="174" t="s">
        <v>1334</v>
      </c>
      <c r="F577" s="174" t="s">
        <v>1334</v>
      </c>
      <c r="G577" s="176"/>
      <c r="H577" s="176"/>
      <c r="I577" s="176"/>
      <c r="J577" s="176"/>
      <c r="K577" s="176"/>
      <c r="L577" s="176"/>
      <c r="M577" s="176"/>
      <c r="N577" s="176"/>
      <c r="O577" s="176"/>
      <c r="P577" s="176"/>
      <c r="Q577" s="176"/>
      <c r="R577" s="176"/>
      <c r="S577" s="176"/>
      <c r="T577" s="176"/>
      <c r="U577" s="176"/>
      <c r="V577" s="176"/>
      <c r="W577" s="176"/>
      <c r="X577" s="176"/>
      <c r="Y577" s="176"/>
      <c r="Z577" s="176"/>
      <c r="AA577" s="176"/>
    </row>
    <row r="578" spans="2:27" ht="15">
      <c r="B578" s="172">
        <v>662</v>
      </c>
      <c r="D578" s="174" t="s">
        <v>328</v>
      </c>
      <c r="E578" s="174" t="s">
        <v>1335</v>
      </c>
      <c r="F578" s="174" t="s">
        <v>1335</v>
      </c>
      <c r="G578" s="176"/>
      <c r="H578" s="176"/>
      <c r="I578" s="176"/>
      <c r="J578" s="176"/>
      <c r="K578" s="176"/>
      <c r="L578" s="176"/>
      <c r="M578" s="176"/>
      <c r="N578" s="176"/>
      <c r="O578" s="176"/>
      <c r="P578" s="176"/>
      <c r="Q578" s="176"/>
      <c r="R578" s="176"/>
      <c r="S578" s="176"/>
      <c r="T578" s="176"/>
      <c r="U578" s="176"/>
      <c r="V578" s="176"/>
      <c r="W578" s="176"/>
      <c r="X578" s="176"/>
      <c r="Y578" s="176"/>
      <c r="Z578" s="176"/>
      <c r="AA578" s="176"/>
    </row>
    <row r="579" spans="2:27" ht="15">
      <c r="B579" s="172">
        <v>663</v>
      </c>
      <c r="D579" s="174" t="s">
        <v>329</v>
      </c>
      <c r="E579" s="174" t="s">
        <v>1336</v>
      </c>
      <c r="F579" s="174" t="s">
        <v>1336</v>
      </c>
      <c r="G579" s="176"/>
      <c r="H579" s="176"/>
      <c r="I579" s="176"/>
      <c r="J579" s="176"/>
      <c r="K579" s="176"/>
      <c r="L579" s="176"/>
      <c r="M579" s="176"/>
      <c r="N579" s="176"/>
      <c r="O579" s="176"/>
      <c r="P579" s="176"/>
      <c r="Q579" s="176"/>
      <c r="R579" s="176"/>
      <c r="S579" s="176"/>
      <c r="T579" s="176"/>
      <c r="U579" s="176"/>
      <c r="V579" s="176"/>
      <c r="W579" s="176"/>
      <c r="X579" s="176"/>
      <c r="Y579" s="176"/>
      <c r="Z579" s="176"/>
      <c r="AA579" s="176"/>
    </row>
    <row r="580" spans="2:27" ht="15">
      <c r="B580" s="172">
        <v>664</v>
      </c>
      <c r="D580" s="174" t="s">
        <v>330</v>
      </c>
      <c r="E580" s="174" t="s">
        <v>1337</v>
      </c>
      <c r="F580" s="174" t="s">
        <v>1337</v>
      </c>
      <c r="G580" s="176"/>
      <c r="H580" s="176"/>
      <c r="I580" s="176"/>
      <c r="J580" s="176"/>
      <c r="K580" s="176"/>
      <c r="L580" s="176"/>
      <c r="M580" s="176"/>
      <c r="N580" s="176"/>
      <c r="O580" s="176"/>
      <c r="P580" s="176"/>
      <c r="Q580" s="176"/>
      <c r="R580" s="176"/>
      <c r="S580" s="176"/>
      <c r="T580" s="176"/>
      <c r="U580" s="176"/>
      <c r="V580" s="176"/>
      <c r="W580" s="176"/>
      <c r="X580" s="176"/>
      <c r="Y580" s="176"/>
      <c r="Z580" s="176"/>
      <c r="AA580" s="176"/>
    </row>
    <row r="581" spans="2:27" ht="15">
      <c r="B581" s="172">
        <v>665</v>
      </c>
      <c r="D581" s="174" t="s">
        <v>331</v>
      </c>
      <c r="E581" s="174" t="s">
        <v>1338</v>
      </c>
      <c r="F581" s="174" t="s">
        <v>1338</v>
      </c>
      <c r="G581" s="176"/>
      <c r="H581" s="176"/>
      <c r="I581" s="176"/>
      <c r="J581" s="176"/>
      <c r="K581" s="176"/>
      <c r="L581" s="176"/>
      <c r="M581" s="176"/>
      <c r="N581" s="176"/>
      <c r="O581" s="176"/>
      <c r="P581" s="176"/>
      <c r="Q581" s="176"/>
      <c r="R581" s="176"/>
      <c r="S581" s="176"/>
      <c r="T581" s="176"/>
      <c r="U581" s="176"/>
      <c r="V581" s="176"/>
      <c r="W581" s="176"/>
      <c r="X581" s="176"/>
      <c r="Y581" s="176"/>
      <c r="Z581" s="176"/>
      <c r="AA581" s="176"/>
    </row>
    <row r="582" spans="2:27" ht="15">
      <c r="B582" s="172">
        <v>666</v>
      </c>
      <c r="D582" s="174" t="s">
        <v>650</v>
      </c>
      <c r="E582" s="174" t="s">
        <v>1339</v>
      </c>
      <c r="F582" s="174" t="s">
        <v>1339</v>
      </c>
    </row>
    <row r="583" spans="2:27" ht="15">
      <c r="B583" s="172">
        <v>667</v>
      </c>
      <c r="D583" s="174" t="s">
        <v>651</v>
      </c>
      <c r="E583" s="174" t="s">
        <v>1340</v>
      </c>
      <c r="F583" s="174" t="s">
        <v>1340</v>
      </c>
    </row>
    <row r="584" spans="2:27" ht="15">
      <c r="B584" s="172">
        <v>668</v>
      </c>
      <c r="D584" s="174" t="s">
        <v>643</v>
      </c>
      <c r="E584" s="174" t="s">
        <v>1341</v>
      </c>
      <c r="F584" s="174" t="s">
        <v>1341</v>
      </c>
    </row>
    <row r="585" spans="2:27" ht="15">
      <c r="B585" s="172">
        <v>669</v>
      </c>
      <c r="D585" s="174" t="s">
        <v>649</v>
      </c>
      <c r="E585" s="174" t="s">
        <v>1342</v>
      </c>
      <c r="F585" s="174" t="s">
        <v>1342</v>
      </c>
    </row>
    <row r="586" spans="2:27" ht="15">
      <c r="B586" s="172">
        <v>670</v>
      </c>
      <c r="D586" s="174" t="s">
        <v>646</v>
      </c>
      <c r="E586" s="174" t="s">
        <v>1343</v>
      </c>
      <c r="F586" s="174" t="s">
        <v>1343</v>
      </c>
    </row>
    <row r="587" spans="2:27" ht="15">
      <c r="B587" s="172">
        <v>671</v>
      </c>
      <c r="D587" s="174" t="s">
        <v>647</v>
      </c>
      <c r="E587" s="174" t="s">
        <v>1344</v>
      </c>
      <c r="F587" s="174" t="s">
        <v>1344</v>
      </c>
    </row>
    <row r="588" spans="2:27" ht="15">
      <c r="B588" s="172">
        <v>672</v>
      </c>
      <c r="D588" s="174" t="s">
        <v>648</v>
      </c>
      <c r="E588" s="174" t="s">
        <v>1345</v>
      </c>
      <c r="F588" s="174" t="s">
        <v>1345</v>
      </c>
    </row>
    <row r="589" spans="2:27" ht="15">
      <c r="B589" s="172">
        <v>673</v>
      </c>
      <c r="D589" s="174" t="s">
        <v>652</v>
      </c>
      <c r="E589" s="174" t="s">
        <v>1346</v>
      </c>
      <c r="F589" s="174" t="s">
        <v>1346</v>
      </c>
    </row>
    <row r="590" spans="2:27" ht="15">
      <c r="B590" s="172">
        <v>674</v>
      </c>
      <c r="D590" s="174" t="s">
        <v>736</v>
      </c>
      <c r="E590" s="174" t="s">
        <v>1347</v>
      </c>
      <c r="F590" s="174" t="s">
        <v>1347</v>
      </c>
    </row>
    <row r="591" spans="2:27" ht="15">
      <c r="B591" s="172">
        <v>675</v>
      </c>
      <c r="D591" s="174" t="s">
        <v>739</v>
      </c>
      <c r="E591" s="174" t="s">
        <v>1348</v>
      </c>
      <c r="F591" s="174" t="s">
        <v>1348</v>
      </c>
    </row>
    <row r="592" spans="2:27" ht="15">
      <c r="B592" s="172">
        <v>676</v>
      </c>
      <c r="D592" s="174" t="s">
        <v>740</v>
      </c>
      <c r="E592" s="174" t="s">
        <v>1349</v>
      </c>
      <c r="F592" s="174" t="s">
        <v>1349</v>
      </c>
    </row>
    <row r="593" spans="2:6" ht="15">
      <c r="B593" s="172">
        <v>677</v>
      </c>
      <c r="D593" s="174" t="s">
        <v>741</v>
      </c>
      <c r="E593" s="174" t="s">
        <v>1350</v>
      </c>
      <c r="F593" s="171" t="s">
        <v>1350</v>
      </c>
    </row>
    <row r="594" spans="2:6" ht="15">
      <c r="B594" s="172">
        <v>678</v>
      </c>
      <c r="D594" s="174" t="s">
        <v>742</v>
      </c>
      <c r="E594" s="174" t="s">
        <v>1351</v>
      </c>
      <c r="F594" s="174" t="s">
        <v>1351</v>
      </c>
    </row>
    <row r="595" spans="2:6" ht="15">
      <c r="B595" s="172">
        <v>679</v>
      </c>
      <c r="D595" s="174" t="s">
        <v>1352</v>
      </c>
      <c r="E595" s="174" t="s">
        <v>1353</v>
      </c>
      <c r="F595" s="174" t="s">
        <v>1353</v>
      </c>
    </row>
    <row r="596" spans="2:6" ht="15">
      <c r="B596" s="172">
        <v>680</v>
      </c>
      <c r="D596" s="174" t="s">
        <v>1354</v>
      </c>
      <c r="E596" s="189" t="s">
        <v>1356</v>
      </c>
      <c r="F596" s="189" t="s">
        <v>1356</v>
      </c>
    </row>
    <row r="597" spans="2:6" ht="15">
      <c r="B597" s="172">
        <v>681</v>
      </c>
      <c r="D597" s="174" t="s">
        <v>1355</v>
      </c>
      <c r="E597" s="189" t="s">
        <v>1357</v>
      </c>
      <c r="F597" s="189" t="s">
        <v>1357</v>
      </c>
    </row>
    <row r="598" spans="2:6" ht="15">
      <c r="B598" s="172">
        <v>682</v>
      </c>
      <c r="D598" s="174" t="s">
        <v>1367</v>
      </c>
      <c r="E598" s="191" t="s">
        <v>1368</v>
      </c>
      <c r="F598" s="191" t="s">
        <v>1368</v>
      </c>
    </row>
    <row r="599" spans="2:6" ht="15">
      <c r="B599" s="172">
        <v>683</v>
      </c>
      <c r="D599" s="174" t="s">
        <v>1369</v>
      </c>
      <c r="E599" s="191" t="s">
        <v>1372</v>
      </c>
      <c r="F599" s="191" t="s">
        <v>1372</v>
      </c>
    </row>
    <row r="600" spans="2:6" ht="13">
      <c r="B600" s="172">
        <v>684</v>
      </c>
      <c r="D600" s="174" t="s">
        <v>1370</v>
      </c>
      <c r="E600" s="174" t="s">
        <v>1371</v>
      </c>
      <c r="F600" s="174" t="s">
        <v>1371</v>
      </c>
    </row>
  </sheetData>
  <sortState xmlns:xlrd2="http://schemas.microsoft.com/office/spreadsheetml/2017/richdata2" ref="A17:AA581">
    <sortCondition ref="D17:D581"/>
  </sortState>
  <phoneticPr fontId="1" type="noConversion"/>
  <hyperlinks>
    <hyperlink ref="E600" r:id="rId1" xr:uid="{00000000-0004-0000-0500-000000000000}"/>
    <hyperlink ref="F600" r:id="rId2" xr:uid="{00000000-0004-0000-0500-000001000000}"/>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AD127"/>
  <sheetViews>
    <sheetView topLeftCell="A10" zoomScale="81" zoomScaleNormal="81" workbookViewId="0">
      <selection activeCell="D7" sqref="D7"/>
    </sheetView>
  </sheetViews>
  <sheetFormatPr baseColWidth="10" defaultColWidth="10.6640625" defaultRowHeight="15"/>
  <cols>
    <col min="1" max="1" width="8.6640625" style="103" bestFit="1" customWidth="1"/>
    <col min="2" max="2" width="12.33203125" style="103" bestFit="1" customWidth="1"/>
    <col min="3" max="8" width="10.33203125" style="103" bestFit="1" customWidth="1"/>
    <col min="9" max="9" width="11.6640625" style="103" bestFit="1" customWidth="1"/>
    <col min="10" max="10" width="12.33203125" style="103" bestFit="1" customWidth="1"/>
    <col min="11" max="12" width="10.33203125" style="103" bestFit="1" customWidth="1"/>
    <col min="13" max="13" width="20.33203125" style="103" bestFit="1" customWidth="1"/>
    <col min="14" max="14" width="8.1640625" style="103" bestFit="1" customWidth="1"/>
    <col min="15" max="16" width="9.83203125" style="103" bestFit="1" customWidth="1"/>
    <col min="17" max="17" width="14.1640625" style="103" bestFit="1" customWidth="1"/>
    <col min="18" max="18" width="15.33203125" style="103" bestFit="1" customWidth="1"/>
    <col min="19" max="19" width="12.1640625" style="103" bestFit="1" customWidth="1"/>
    <col min="20" max="20" width="18.5" style="103" bestFit="1" customWidth="1"/>
    <col min="21" max="21" width="12.6640625" style="103" bestFit="1" customWidth="1"/>
    <col min="22" max="22" width="12.33203125" style="103" bestFit="1" customWidth="1"/>
    <col min="23" max="23" width="14.1640625" style="103" bestFit="1" customWidth="1"/>
    <col min="24" max="24" width="17.33203125" style="104" bestFit="1" customWidth="1"/>
    <col min="25" max="25" width="8.1640625" style="104" bestFit="1" customWidth="1"/>
    <col min="26" max="26" width="9.5" style="104" bestFit="1" customWidth="1"/>
    <col min="27" max="27" width="9.83203125" style="103" bestFit="1" customWidth="1"/>
    <col min="28" max="28" width="10.6640625" style="103" bestFit="1" customWidth="1"/>
    <col min="29" max="29" width="11.5" style="103" bestFit="1" customWidth="1"/>
    <col min="30" max="30" width="13.83203125" style="103" bestFit="1" customWidth="1"/>
    <col min="31" max="16384" width="10.6640625" style="103"/>
  </cols>
  <sheetData>
    <row r="1" spans="1:30">
      <c r="A1" s="106" t="s">
        <v>535</v>
      </c>
      <c r="B1" s="106" t="s">
        <v>333</v>
      </c>
      <c r="C1" s="106" t="s">
        <v>524</v>
      </c>
      <c r="D1" s="106" t="s">
        <v>525</v>
      </c>
      <c r="E1" s="106" t="s">
        <v>526</v>
      </c>
      <c r="F1" s="106" t="s">
        <v>527</v>
      </c>
      <c r="G1" s="106" t="s">
        <v>528</v>
      </c>
      <c r="H1" s="106" t="s">
        <v>529</v>
      </c>
      <c r="I1" s="106" t="s">
        <v>530</v>
      </c>
      <c r="J1" s="106" t="s">
        <v>531</v>
      </c>
      <c r="K1" s="106" t="s">
        <v>532</v>
      </c>
      <c r="L1" s="106" t="s">
        <v>533</v>
      </c>
      <c r="M1" s="106" t="s">
        <v>334</v>
      </c>
      <c r="N1" s="106" t="s">
        <v>335</v>
      </c>
      <c r="O1" s="106" t="s">
        <v>336</v>
      </c>
      <c r="P1" s="106" t="s">
        <v>337</v>
      </c>
      <c r="Q1" s="106" t="s">
        <v>501</v>
      </c>
      <c r="R1" s="106" t="s">
        <v>502</v>
      </c>
      <c r="S1" s="106" t="s">
        <v>534</v>
      </c>
      <c r="T1" s="106" t="s">
        <v>611</v>
      </c>
      <c r="U1" s="106" t="s">
        <v>488</v>
      </c>
      <c r="V1" s="106" t="s">
        <v>489</v>
      </c>
      <c r="W1" s="106" t="s">
        <v>491</v>
      </c>
      <c r="X1" s="107" t="s">
        <v>602</v>
      </c>
      <c r="Y1" s="107" t="s">
        <v>492</v>
      </c>
      <c r="Z1" s="107" t="s">
        <v>493</v>
      </c>
      <c r="AA1" s="106" t="s">
        <v>503</v>
      </c>
      <c r="AB1" s="106" t="s">
        <v>504</v>
      </c>
      <c r="AC1" s="106" t="s">
        <v>522</v>
      </c>
      <c r="AD1" s="106" t="s">
        <v>490</v>
      </c>
    </row>
    <row r="2" spans="1:30">
      <c r="A2" s="105" t="s">
        <v>786</v>
      </c>
      <c r="B2" s="105" t="s">
        <v>541</v>
      </c>
      <c r="C2" s="105" t="s">
        <v>495</v>
      </c>
      <c r="D2" s="105" t="s">
        <v>541</v>
      </c>
      <c r="M2" s="105" t="s">
        <v>1495</v>
      </c>
      <c r="N2" s="105" t="s">
        <v>1618</v>
      </c>
      <c r="O2" s="102">
        <v>44809</v>
      </c>
      <c r="P2" s="102">
        <v>44817</v>
      </c>
      <c r="Q2" s="102">
        <v>44809</v>
      </c>
      <c r="R2" s="102">
        <v>44834</v>
      </c>
      <c r="S2" s="103">
        <v>37</v>
      </c>
      <c r="T2" s="103">
        <v>1</v>
      </c>
      <c r="U2" s="103">
        <v>5</v>
      </c>
      <c r="V2" s="103">
        <v>5</v>
      </c>
      <c r="W2" s="103">
        <v>0</v>
      </c>
      <c r="X2" s="104">
        <v>1</v>
      </c>
      <c r="Y2" s="104">
        <v>1</v>
      </c>
      <c r="Z2" s="104">
        <v>1</v>
      </c>
      <c r="AA2" s="102">
        <v>44809</v>
      </c>
      <c r="AB2" s="102">
        <v>44817</v>
      </c>
      <c r="AC2" s="103">
        <v>5</v>
      </c>
      <c r="AD2" s="103">
        <v>5</v>
      </c>
    </row>
    <row r="3" spans="1:30">
      <c r="A3" s="105" t="s">
        <v>786</v>
      </c>
      <c r="B3" s="105" t="s">
        <v>1454</v>
      </c>
      <c r="C3" s="105" t="s">
        <v>495</v>
      </c>
      <c r="D3" s="105" t="s">
        <v>1454</v>
      </c>
      <c r="M3" s="105" t="s">
        <v>1496</v>
      </c>
      <c r="N3" s="105" t="s">
        <v>1618</v>
      </c>
      <c r="O3" s="102">
        <v>44818</v>
      </c>
      <c r="P3" s="102">
        <v>44865</v>
      </c>
      <c r="Q3" s="102">
        <v>44809</v>
      </c>
      <c r="R3" s="102">
        <v>44834</v>
      </c>
      <c r="S3" s="103">
        <v>37</v>
      </c>
      <c r="T3" s="103">
        <v>1</v>
      </c>
      <c r="U3" s="103">
        <v>13</v>
      </c>
      <c r="V3" s="103">
        <v>13</v>
      </c>
      <c r="W3" s="103">
        <v>0</v>
      </c>
      <c r="X3" s="104">
        <v>1</v>
      </c>
      <c r="Y3" s="104">
        <v>0.65625</v>
      </c>
      <c r="Z3" s="104">
        <v>1</v>
      </c>
      <c r="AA3" s="102">
        <v>44818</v>
      </c>
      <c r="AB3" s="102">
        <v>44865</v>
      </c>
      <c r="AC3" s="103">
        <v>13</v>
      </c>
      <c r="AD3" s="103">
        <v>13</v>
      </c>
    </row>
    <row r="4" spans="1:30">
      <c r="A4" s="105" t="s">
        <v>786</v>
      </c>
      <c r="B4" s="105" t="s">
        <v>1454</v>
      </c>
      <c r="C4" s="105" t="s">
        <v>495</v>
      </c>
      <c r="D4" s="105" t="s">
        <v>1454</v>
      </c>
      <c r="M4" s="105" t="s">
        <v>1496</v>
      </c>
      <c r="N4" s="105" t="s">
        <v>1618</v>
      </c>
      <c r="O4" s="102">
        <v>44818</v>
      </c>
      <c r="P4" s="102">
        <v>44865</v>
      </c>
      <c r="Q4" s="102">
        <v>44835</v>
      </c>
      <c r="R4" s="102">
        <v>44865</v>
      </c>
      <c r="S4" s="103">
        <v>40</v>
      </c>
      <c r="T4" s="103">
        <v>4</v>
      </c>
      <c r="U4" s="103">
        <v>19</v>
      </c>
      <c r="V4" s="103">
        <v>8</v>
      </c>
      <c r="W4" s="103">
        <v>0</v>
      </c>
      <c r="X4" s="104">
        <v>1</v>
      </c>
      <c r="Y4" s="104">
        <v>0.65625</v>
      </c>
      <c r="Z4" s="104">
        <v>1</v>
      </c>
      <c r="AA4" s="102">
        <v>44818</v>
      </c>
      <c r="AB4" s="102">
        <v>44865</v>
      </c>
      <c r="AC4" s="103">
        <v>19</v>
      </c>
      <c r="AD4" s="103">
        <v>19</v>
      </c>
    </row>
    <row r="5" spans="1:30">
      <c r="A5" s="105" t="s">
        <v>786</v>
      </c>
      <c r="B5" s="105" t="s">
        <v>1456</v>
      </c>
      <c r="C5" s="105" t="s">
        <v>786</v>
      </c>
      <c r="D5" s="105" t="s">
        <v>1456</v>
      </c>
      <c r="M5" s="105" t="s">
        <v>1498</v>
      </c>
      <c r="N5" s="105" t="s">
        <v>1618</v>
      </c>
      <c r="O5" s="102">
        <v>44818</v>
      </c>
      <c r="P5" s="102">
        <v>44820</v>
      </c>
      <c r="Q5" s="102">
        <v>44809</v>
      </c>
      <c r="R5" s="102">
        <v>44834</v>
      </c>
      <c r="S5" s="103">
        <v>37</v>
      </c>
      <c r="T5" s="103">
        <v>1</v>
      </c>
      <c r="U5" s="103">
        <v>3</v>
      </c>
      <c r="V5" s="103">
        <v>3</v>
      </c>
      <c r="W5" s="103">
        <v>0</v>
      </c>
      <c r="X5" s="104">
        <v>1</v>
      </c>
      <c r="Y5" s="104">
        <v>1</v>
      </c>
      <c r="Z5" s="104">
        <v>1</v>
      </c>
      <c r="AA5" s="102">
        <v>44818</v>
      </c>
      <c r="AB5" s="102">
        <v>44820</v>
      </c>
      <c r="AC5" s="103">
        <v>3</v>
      </c>
      <c r="AD5" s="103">
        <v>3</v>
      </c>
    </row>
    <row r="6" spans="1:30">
      <c r="A6" s="105" t="s">
        <v>786</v>
      </c>
      <c r="B6" s="105" t="s">
        <v>1457</v>
      </c>
      <c r="C6" s="105" t="s">
        <v>786</v>
      </c>
      <c r="D6" s="105" t="s">
        <v>1457</v>
      </c>
      <c r="M6" s="105" t="s">
        <v>1499</v>
      </c>
      <c r="N6" s="105" t="s">
        <v>1618</v>
      </c>
      <c r="O6" s="102">
        <v>44823</v>
      </c>
      <c r="P6" s="102">
        <v>44827</v>
      </c>
      <c r="Q6" s="102">
        <v>44809</v>
      </c>
      <c r="R6" s="102">
        <v>44834</v>
      </c>
      <c r="S6" s="103">
        <v>37</v>
      </c>
      <c r="T6" s="103">
        <v>1</v>
      </c>
      <c r="U6" s="103">
        <v>0</v>
      </c>
      <c r="V6" s="103">
        <v>0</v>
      </c>
      <c r="W6" s="103">
        <v>0</v>
      </c>
      <c r="X6" s="104">
        <v>0</v>
      </c>
      <c r="Y6" s="104">
        <v>1</v>
      </c>
      <c r="Z6" s="104">
        <v>1</v>
      </c>
      <c r="AA6" s="102">
        <v>44823</v>
      </c>
      <c r="AB6" s="102">
        <v>44827</v>
      </c>
      <c r="AC6" s="103">
        <v>0</v>
      </c>
      <c r="AD6" s="103">
        <v>0</v>
      </c>
    </row>
    <row r="7" spans="1:30">
      <c r="A7" s="105" t="s">
        <v>786</v>
      </c>
      <c r="B7" s="105" t="s">
        <v>1458</v>
      </c>
      <c r="C7" s="105" t="s">
        <v>786</v>
      </c>
      <c r="D7" s="105" t="s">
        <v>1458</v>
      </c>
      <c r="M7" s="105" t="s">
        <v>1500</v>
      </c>
      <c r="N7" s="105" t="s">
        <v>1618</v>
      </c>
      <c r="O7" s="102">
        <v>44830</v>
      </c>
      <c r="P7" s="102">
        <v>44852</v>
      </c>
      <c r="Q7" s="102">
        <v>44809</v>
      </c>
      <c r="R7" s="102">
        <v>44834</v>
      </c>
      <c r="S7" s="103">
        <v>37</v>
      </c>
      <c r="T7" s="103">
        <v>1</v>
      </c>
      <c r="U7" s="103">
        <v>5</v>
      </c>
      <c r="V7" s="103">
        <v>5</v>
      </c>
      <c r="W7" s="103">
        <v>0</v>
      </c>
      <c r="X7" s="104">
        <v>1</v>
      </c>
      <c r="Y7" s="104">
        <v>0.8666666666666667</v>
      </c>
      <c r="Z7" s="104">
        <v>0.19047619047618999</v>
      </c>
      <c r="AA7" s="102">
        <v>44830</v>
      </c>
      <c r="AC7" s="103">
        <v>2.8571428571428501</v>
      </c>
      <c r="AD7" s="103">
        <v>2.8571428571428501</v>
      </c>
    </row>
    <row r="8" spans="1:30">
      <c r="A8" s="105" t="s">
        <v>786</v>
      </c>
      <c r="B8" s="105" t="s">
        <v>1458</v>
      </c>
      <c r="C8" s="105" t="s">
        <v>786</v>
      </c>
      <c r="D8" s="105" t="s">
        <v>1458</v>
      </c>
      <c r="M8" s="105" t="s">
        <v>1500</v>
      </c>
      <c r="N8" s="105" t="s">
        <v>1618</v>
      </c>
      <c r="O8" s="102">
        <v>44830</v>
      </c>
      <c r="P8" s="102">
        <v>44852</v>
      </c>
      <c r="Q8" s="102">
        <v>44835</v>
      </c>
      <c r="R8" s="102">
        <v>44865</v>
      </c>
      <c r="S8" s="103">
        <v>40</v>
      </c>
      <c r="T8" s="103">
        <v>4</v>
      </c>
      <c r="U8" s="103">
        <v>10</v>
      </c>
      <c r="V8" s="103">
        <v>8</v>
      </c>
      <c r="W8" s="103">
        <v>0</v>
      </c>
      <c r="X8" s="104">
        <v>1</v>
      </c>
      <c r="Y8" s="104">
        <v>0.8666666666666667</v>
      </c>
      <c r="Z8" s="104">
        <v>0.19047619047618999</v>
      </c>
      <c r="AA8" s="102">
        <v>44830</v>
      </c>
      <c r="AC8" s="103">
        <v>0</v>
      </c>
      <c r="AD8" s="103">
        <v>0</v>
      </c>
    </row>
    <row r="9" spans="1:30">
      <c r="A9" s="105" t="s">
        <v>786</v>
      </c>
      <c r="B9" s="105" t="s">
        <v>1459</v>
      </c>
      <c r="C9" s="105" t="s">
        <v>786</v>
      </c>
      <c r="D9" s="105" t="s">
        <v>1459</v>
      </c>
      <c r="M9" s="105" t="s">
        <v>1501</v>
      </c>
      <c r="N9" s="105" t="s">
        <v>1619</v>
      </c>
      <c r="O9" s="102">
        <v>44853</v>
      </c>
      <c r="P9" s="102">
        <v>44865</v>
      </c>
      <c r="Q9" s="102">
        <v>44835</v>
      </c>
      <c r="R9" s="102">
        <v>44865</v>
      </c>
      <c r="S9" s="103">
        <v>40</v>
      </c>
      <c r="T9" s="103">
        <v>4</v>
      </c>
      <c r="U9" s="103">
        <v>9</v>
      </c>
      <c r="V9" s="103">
        <v>0</v>
      </c>
      <c r="W9" s="103">
        <v>0</v>
      </c>
      <c r="X9" s="104">
        <v>1</v>
      </c>
      <c r="Y9" s="104">
        <v>0</v>
      </c>
      <c r="Z9" s="104">
        <v>1</v>
      </c>
      <c r="AA9" s="102">
        <v>44853</v>
      </c>
      <c r="AB9" s="102">
        <v>44865</v>
      </c>
      <c r="AC9" s="103">
        <v>9</v>
      </c>
      <c r="AD9" s="103">
        <v>9</v>
      </c>
    </row>
    <row r="10" spans="1:30">
      <c r="A10" s="105" t="s">
        <v>786</v>
      </c>
      <c r="B10" s="105" t="s">
        <v>1624</v>
      </c>
      <c r="C10" s="105" t="s">
        <v>1463</v>
      </c>
      <c r="D10" s="105" t="s">
        <v>1624</v>
      </c>
      <c r="M10" s="105" t="s">
        <v>1503</v>
      </c>
      <c r="N10" s="105" t="s">
        <v>1619</v>
      </c>
      <c r="O10" s="102">
        <v>44830</v>
      </c>
      <c r="P10" s="102">
        <v>44832</v>
      </c>
      <c r="Q10" s="102">
        <v>44809</v>
      </c>
      <c r="R10" s="102">
        <v>44834</v>
      </c>
      <c r="S10" s="103">
        <v>37</v>
      </c>
      <c r="T10" s="103">
        <v>1</v>
      </c>
      <c r="U10" s="103">
        <v>3</v>
      </c>
      <c r="V10" s="103">
        <v>3</v>
      </c>
      <c r="W10" s="103">
        <v>0</v>
      </c>
      <c r="X10" s="104">
        <v>1</v>
      </c>
      <c r="Y10" s="104">
        <v>1</v>
      </c>
      <c r="Z10" s="104">
        <v>0</v>
      </c>
      <c r="AC10" s="103">
        <v>0</v>
      </c>
      <c r="AD10" s="103">
        <v>0</v>
      </c>
    </row>
    <row r="11" spans="1:30">
      <c r="A11" s="105" t="s">
        <v>786</v>
      </c>
      <c r="B11" s="105" t="s">
        <v>1625</v>
      </c>
      <c r="C11" s="105" t="s">
        <v>1463</v>
      </c>
      <c r="D11" s="105" t="s">
        <v>1625</v>
      </c>
      <c r="M11" s="105" t="s">
        <v>1504</v>
      </c>
      <c r="N11" s="105" t="s">
        <v>1619</v>
      </c>
      <c r="O11" s="102">
        <v>44833</v>
      </c>
      <c r="P11" s="102">
        <v>44834</v>
      </c>
      <c r="Q11" s="102">
        <v>44809</v>
      </c>
      <c r="R11" s="102">
        <v>44834</v>
      </c>
      <c r="S11" s="103">
        <v>37</v>
      </c>
      <c r="T11" s="103">
        <v>1</v>
      </c>
      <c r="U11" s="103">
        <v>2</v>
      </c>
      <c r="V11" s="103">
        <v>2</v>
      </c>
      <c r="W11" s="103">
        <v>0</v>
      </c>
      <c r="X11" s="104">
        <v>1</v>
      </c>
      <c r="Y11" s="104">
        <v>1</v>
      </c>
      <c r="Z11" s="104">
        <v>0</v>
      </c>
      <c r="AC11" s="103">
        <v>0</v>
      </c>
      <c r="AD11" s="103">
        <v>0</v>
      </c>
    </row>
    <row r="12" spans="1:30">
      <c r="A12" s="105" t="s">
        <v>786</v>
      </c>
      <c r="B12" s="105" t="s">
        <v>1626</v>
      </c>
      <c r="C12" s="105" t="s">
        <v>1463</v>
      </c>
      <c r="D12" s="105" t="s">
        <v>1626</v>
      </c>
      <c r="M12" s="105" t="s">
        <v>1505</v>
      </c>
      <c r="N12" s="105" t="s">
        <v>1772</v>
      </c>
      <c r="O12" s="102">
        <v>44838</v>
      </c>
      <c r="P12" s="102">
        <v>44852</v>
      </c>
      <c r="Q12" s="102">
        <v>44835</v>
      </c>
      <c r="R12" s="102">
        <v>44865</v>
      </c>
      <c r="S12" s="103">
        <v>40</v>
      </c>
      <c r="T12" s="103">
        <v>4</v>
      </c>
      <c r="U12" s="103">
        <v>10</v>
      </c>
      <c r="V12" s="103">
        <v>8</v>
      </c>
      <c r="W12" s="103">
        <v>0</v>
      </c>
      <c r="X12" s="104">
        <v>1</v>
      </c>
      <c r="Y12" s="104">
        <v>0.8</v>
      </c>
      <c r="Z12" s="104">
        <v>0</v>
      </c>
      <c r="AC12" s="103">
        <v>0</v>
      </c>
      <c r="AD12" s="103">
        <v>0</v>
      </c>
    </row>
    <row r="13" spans="1:30">
      <c r="A13" s="105" t="s">
        <v>1463</v>
      </c>
      <c r="B13" s="105" t="s">
        <v>1628</v>
      </c>
      <c r="C13" s="105" t="s">
        <v>1464</v>
      </c>
      <c r="D13" s="105" t="s">
        <v>1627</v>
      </c>
      <c r="E13" s="105" t="s">
        <v>1628</v>
      </c>
      <c r="M13" s="105" t="s">
        <v>1508</v>
      </c>
      <c r="N13" s="105" t="s">
        <v>1620</v>
      </c>
      <c r="O13" s="102">
        <v>44838</v>
      </c>
      <c r="P13" s="102">
        <v>44839</v>
      </c>
      <c r="Q13" s="102">
        <v>44835</v>
      </c>
      <c r="R13" s="102">
        <v>44865</v>
      </c>
      <c r="S13" s="103">
        <v>40</v>
      </c>
      <c r="T13" s="103">
        <v>4</v>
      </c>
      <c r="U13" s="103">
        <v>2</v>
      </c>
      <c r="V13" s="103">
        <v>2</v>
      </c>
      <c r="W13" s="103">
        <v>0</v>
      </c>
      <c r="X13" s="104">
        <v>1</v>
      </c>
      <c r="Y13" s="104">
        <v>1</v>
      </c>
      <c r="Z13" s="104">
        <v>0</v>
      </c>
      <c r="AC13" s="103">
        <v>0</v>
      </c>
      <c r="AD13" s="103">
        <v>0</v>
      </c>
    </row>
    <row r="14" spans="1:30">
      <c r="A14" s="105" t="s">
        <v>1463</v>
      </c>
      <c r="B14" s="105" t="s">
        <v>1630</v>
      </c>
      <c r="C14" s="105" t="s">
        <v>1464</v>
      </c>
      <c r="D14" s="105" t="s">
        <v>1629</v>
      </c>
      <c r="E14" s="105" t="s">
        <v>1630</v>
      </c>
      <c r="M14" s="105" t="s">
        <v>1509</v>
      </c>
      <c r="N14" s="105" t="s">
        <v>1620</v>
      </c>
      <c r="O14" s="102">
        <v>44840</v>
      </c>
      <c r="P14" s="102">
        <v>44851</v>
      </c>
      <c r="Q14" s="102">
        <v>44835</v>
      </c>
      <c r="R14" s="102">
        <v>44865</v>
      </c>
      <c r="S14" s="103">
        <v>40</v>
      </c>
      <c r="T14" s="103">
        <v>4</v>
      </c>
      <c r="U14" s="103">
        <v>7</v>
      </c>
      <c r="V14" s="103">
        <v>6</v>
      </c>
      <c r="W14" s="103">
        <v>0</v>
      </c>
      <c r="X14" s="104">
        <v>1</v>
      </c>
      <c r="Y14" s="104">
        <v>0.8571428571428571</v>
      </c>
      <c r="Z14" s="104">
        <v>0</v>
      </c>
      <c r="AC14" s="103">
        <v>0</v>
      </c>
      <c r="AD14" s="103">
        <v>0</v>
      </c>
    </row>
    <row r="15" spans="1:30">
      <c r="A15" s="105" t="s">
        <v>1463</v>
      </c>
      <c r="B15" s="105" t="s">
        <v>1631</v>
      </c>
      <c r="C15" s="105" t="s">
        <v>1464</v>
      </c>
      <c r="D15" s="105" t="s">
        <v>1629</v>
      </c>
      <c r="E15" s="105" t="s">
        <v>1631</v>
      </c>
      <c r="M15" s="105" t="s">
        <v>1510</v>
      </c>
      <c r="N15" s="105" t="s">
        <v>1620</v>
      </c>
      <c r="O15" s="102">
        <v>44852</v>
      </c>
      <c r="P15" s="102">
        <v>44852</v>
      </c>
      <c r="Q15" s="102">
        <v>44835</v>
      </c>
      <c r="R15" s="102">
        <v>44865</v>
      </c>
      <c r="S15" s="103">
        <v>40</v>
      </c>
      <c r="T15" s="103">
        <v>4</v>
      </c>
      <c r="U15" s="103">
        <v>1</v>
      </c>
      <c r="V15" s="103">
        <v>0</v>
      </c>
      <c r="W15" s="103">
        <v>0</v>
      </c>
      <c r="X15" s="104">
        <v>1</v>
      </c>
      <c r="Y15" s="104">
        <v>0</v>
      </c>
      <c r="Z15" s="104">
        <v>0.124168514412417</v>
      </c>
      <c r="AA15" s="102">
        <v>44852</v>
      </c>
      <c r="AC15" s="103">
        <v>0.124168514412417</v>
      </c>
      <c r="AD15" s="103">
        <v>0.124168514412417</v>
      </c>
    </row>
    <row r="16" spans="1:30">
      <c r="A16" s="105" t="s">
        <v>1463</v>
      </c>
      <c r="B16" s="105" t="s">
        <v>1632</v>
      </c>
      <c r="C16" s="105" t="s">
        <v>1464</v>
      </c>
      <c r="D16" s="105" t="s">
        <v>1629</v>
      </c>
      <c r="E16" s="105" t="s">
        <v>1632</v>
      </c>
      <c r="M16" s="105" t="s">
        <v>1511</v>
      </c>
      <c r="N16" s="105" t="s">
        <v>1620</v>
      </c>
      <c r="O16" s="102">
        <v>44853</v>
      </c>
      <c r="P16" s="102">
        <v>44855</v>
      </c>
      <c r="Q16" s="102">
        <v>44835</v>
      </c>
      <c r="R16" s="102">
        <v>44865</v>
      </c>
      <c r="S16" s="103">
        <v>40</v>
      </c>
      <c r="T16" s="103">
        <v>4</v>
      </c>
      <c r="U16" s="103">
        <v>3</v>
      </c>
      <c r="V16" s="103">
        <v>0</v>
      </c>
      <c r="W16" s="103">
        <v>0</v>
      </c>
      <c r="X16" s="104">
        <v>1</v>
      </c>
      <c r="Y16" s="104">
        <v>0</v>
      </c>
      <c r="Z16" s="104">
        <v>1</v>
      </c>
      <c r="AA16" s="102">
        <v>44853</v>
      </c>
      <c r="AB16" s="102">
        <v>44855</v>
      </c>
      <c r="AC16" s="103">
        <v>3</v>
      </c>
      <c r="AD16" s="103">
        <v>3</v>
      </c>
    </row>
    <row r="17" spans="1:30">
      <c r="A17" s="105" t="s">
        <v>1463</v>
      </c>
      <c r="B17" s="105" t="s">
        <v>1633</v>
      </c>
      <c r="C17" s="105" t="s">
        <v>1464</v>
      </c>
      <c r="D17" s="105" t="s">
        <v>1629</v>
      </c>
      <c r="E17" s="105" t="s">
        <v>1633</v>
      </c>
      <c r="M17" s="105" t="s">
        <v>1512</v>
      </c>
      <c r="N17" s="105" t="s">
        <v>1620</v>
      </c>
      <c r="O17" s="102">
        <v>44858</v>
      </c>
      <c r="P17" s="102">
        <v>44860</v>
      </c>
      <c r="Q17" s="102">
        <v>44835</v>
      </c>
      <c r="R17" s="102">
        <v>44865</v>
      </c>
      <c r="S17" s="103">
        <v>40</v>
      </c>
      <c r="T17" s="103">
        <v>4</v>
      </c>
      <c r="U17" s="103">
        <v>3</v>
      </c>
      <c r="V17" s="103">
        <v>0</v>
      </c>
      <c r="W17" s="103">
        <v>0</v>
      </c>
      <c r="X17" s="104">
        <v>1</v>
      </c>
      <c r="Y17" s="104">
        <v>0</v>
      </c>
      <c r="Z17" s="104">
        <v>1</v>
      </c>
      <c r="AA17" s="102">
        <v>44858</v>
      </c>
      <c r="AB17" s="102">
        <v>44860</v>
      </c>
      <c r="AC17" s="103">
        <v>3</v>
      </c>
      <c r="AD17" s="103">
        <v>3</v>
      </c>
    </row>
    <row r="18" spans="1:30">
      <c r="A18" s="105" t="s">
        <v>1463</v>
      </c>
      <c r="B18" s="105" t="s">
        <v>1634</v>
      </c>
      <c r="C18" s="105" t="s">
        <v>1464</v>
      </c>
      <c r="D18" s="105" t="s">
        <v>1629</v>
      </c>
      <c r="E18" s="105" t="s">
        <v>1634</v>
      </c>
      <c r="M18" s="105" t="s">
        <v>1513</v>
      </c>
      <c r="N18" s="105" t="s">
        <v>1620</v>
      </c>
      <c r="O18" s="102">
        <v>44861</v>
      </c>
      <c r="P18" s="102">
        <v>44865</v>
      </c>
      <c r="Q18" s="102">
        <v>44835</v>
      </c>
      <c r="R18" s="102">
        <v>44865</v>
      </c>
      <c r="S18" s="103">
        <v>40</v>
      </c>
      <c r="T18" s="103">
        <v>4</v>
      </c>
      <c r="U18" s="103">
        <v>3</v>
      </c>
      <c r="V18" s="103">
        <v>0</v>
      </c>
      <c r="W18" s="103">
        <v>0</v>
      </c>
      <c r="X18" s="104">
        <v>1</v>
      </c>
      <c r="Y18" s="104">
        <v>0</v>
      </c>
      <c r="Z18" s="104">
        <v>1</v>
      </c>
      <c r="AA18" s="102">
        <v>44861</v>
      </c>
      <c r="AB18" s="102">
        <v>44865</v>
      </c>
      <c r="AC18" s="103">
        <v>3</v>
      </c>
      <c r="AD18" s="103">
        <v>3</v>
      </c>
    </row>
    <row r="19" spans="1:30">
      <c r="A19" s="105" t="s">
        <v>1464</v>
      </c>
      <c r="B19" s="105" t="s">
        <v>1636</v>
      </c>
      <c r="C19" s="105" t="s">
        <v>1464</v>
      </c>
      <c r="D19" s="105" t="s">
        <v>1629</v>
      </c>
      <c r="E19" s="105" t="s">
        <v>1635</v>
      </c>
      <c r="F19" s="105" t="s">
        <v>1636</v>
      </c>
      <c r="M19" s="105" t="s">
        <v>1515</v>
      </c>
      <c r="N19" s="105" t="s">
        <v>1620</v>
      </c>
      <c r="O19" s="102">
        <v>44866</v>
      </c>
      <c r="P19" s="102">
        <v>44867</v>
      </c>
      <c r="Q19" s="102">
        <v>44866</v>
      </c>
      <c r="R19" s="102">
        <v>44895</v>
      </c>
      <c r="S19" s="103">
        <v>45</v>
      </c>
      <c r="T19" s="103">
        <v>9</v>
      </c>
      <c r="U19" s="103">
        <v>2</v>
      </c>
      <c r="V19" s="103">
        <v>0</v>
      </c>
      <c r="W19" s="103">
        <v>0</v>
      </c>
      <c r="X19" s="104">
        <v>1</v>
      </c>
      <c r="Y19" s="104">
        <v>0</v>
      </c>
      <c r="Z19" s="104">
        <v>1</v>
      </c>
      <c r="AA19" s="102">
        <v>44866</v>
      </c>
      <c r="AB19" s="102">
        <v>44867</v>
      </c>
      <c r="AC19" s="103">
        <v>2</v>
      </c>
      <c r="AD19" s="103">
        <v>2</v>
      </c>
    </row>
    <row r="20" spans="1:30">
      <c r="A20" s="105" t="s">
        <v>1464</v>
      </c>
      <c r="B20" s="105" t="s">
        <v>1637</v>
      </c>
      <c r="C20" s="105" t="s">
        <v>1464</v>
      </c>
      <c r="D20" s="105" t="s">
        <v>1629</v>
      </c>
      <c r="E20" s="105" t="s">
        <v>1635</v>
      </c>
      <c r="F20" s="105" t="s">
        <v>1637</v>
      </c>
      <c r="M20" s="105" t="s">
        <v>1516</v>
      </c>
      <c r="N20" s="105" t="s">
        <v>1620</v>
      </c>
      <c r="O20" s="102">
        <v>44868</v>
      </c>
      <c r="P20" s="102">
        <v>44869</v>
      </c>
      <c r="Q20" s="102">
        <v>44866</v>
      </c>
      <c r="R20" s="102">
        <v>44895</v>
      </c>
      <c r="S20" s="103">
        <v>45</v>
      </c>
      <c r="T20" s="103">
        <v>9</v>
      </c>
      <c r="U20" s="103">
        <v>2</v>
      </c>
      <c r="V20" s="103">
        <v>0</v>
      </c>
      <c r="W20" s="103">
        <v>0</v>
      </c>
      <c r="X20" s="104">
        <v>1</v>
      </c>
      <c r="Y20" s="104">
        <v>0</v>
      </c>
      <c r="Z20" s="104">
        <v>0</v>
      </c>
      <c r="AC20" s="103">
        <v>0</v>
      </c>
      <c r="AD20" s="103">
        <v>0</v>
      </c>
    </row>
    <row r="21" spans="1:30">
      <c r="A21" s="105" t="s">
        <v>1464</v>
      </c>
      <c r="B21" s="105" t="s">
        <v>1638</v>
      </c>
      <c r="C21" s="105" t="s">
        <v>1464</v>
      </c>
      <c r="D21" s="105" t="s">
        <v>1629</v>
      </c>
      <c r="E21" s="105" t="s">
        <v>1635</v>
      </c>
      <c r="F21" s="105" t="s">
        <v>1638</v>
      </c>
      <c r="M21" s="105" t="s">
        <v>1517</v>
      </c>
      <c r="N21" s="105" t="s">
        <v>1620</v>
      </c>
      <c r="O21" s="102">
        <v>44872</v>
      </c>
      <c r="P21" s="102">
        <v>44873</v>
      </c>
      <c r="Q21" s="102">
        <v>44866</v>
      </c>
      <c r="R21" s="102">
        <v>44895</v>
      </c>
      <c r="S21" s="103">
        <v>45</v>
      </c>
      <c r="T21" s="103">
        <v>9</v>
      </c>
      <c r="U21" s="103">
        <v>2</v>
      </c>
      <c r="V21" s="103">
        <v>0</v>
      </c>
      <c r="W21" s="103">
        <v>0</v>
      </c>
      <c r="X21" s="104">
        <v>1</v>
      </c>
      <c r="Y21" s="104">
        <v>0</v>
      </c>
      <c r="Z21" s="104">
        <v>0</v>
      </c>
      <c r="AC21" s="103">
        <v>0</v>
      </c>
      <c r="AD21" s="103">
        <v>0</v>
      </c>
    </row>
    <row r="22" spans="1:30">
      <c r="A22" s="105" t="s">
        <v>786</v>
      </c>
      <c r="B22" s="105" t="s">
        <v>1639</v>
      </c>
      <c r="C22" s="105" t="s">
        <v>1464</v>
      </c>
      <c r="D22" s="105" t="s">
        <v>1639</v>
      </c>
      <c r="M22" s="105" t="s">
        <v>1501</v>
      </c>
      <c r="N22" s="105" t="s">
        <v>1620</v>
      </c>
      <c r="O22" s="102">
        <v>44875</v>
      </c>
      <c r="P22" s="102">
        <v>44895</v>
      </c>
      <c r="Q22" s="102">
        <v>44866</v>
      </c>
      <c r="R22" s="102">
        <v>44895</v>
      </c>
      <c r="S22" s="103">
        <v>45</v>
      </c>
      <c r="T22" s="103">
        <v>9</v>
      </c>
      <c r="U22" s="103">
        <v>15</v>
      </c>
      <c r="V22" s="103">
        <v>0</v>
      </c>
      <c r="W22" s="103">
        <v>0</v>
      </c>
      <c r="X22" s="104">
        <v>1</v>
      </c>
      <c r="Y22" s="104">
        <v>0</v>
      </c>
      <c r="Z22" s="104">
        <v>0</v>
      </c>
      <c r="AC22" s="103">
        <v>0</v>
      </c>
      <c r="AD22" s="103">
        <v>0</v>
      </c>
    </row>
    <row r="23" spans="1:30">
      <c r="A23" s="105" t="s">
        <v>786</v>
      </c>
      <c r="B23" s="105" t="s">
        <v>1640</v>
      </c>
      <c r="C23" s="105" t="s">
        <v>1466</v>
      </c>
      <c r="D23" s="105" t="s">
        <v>1640</v>
      </c>
      <c r="M23" s="105" t="s">
        <v>1518</v>
      </c>
      <c r="N23" s="105" t="s">
        <v>1621</v>
      </c>
      <c r="O23" s="102">
        <v>44830</v>
      </c>
      <c r="P23" s="102">
        <v>44830</v>
      </c>
      <c r="Q23" s="102">
        <v>44809</v>
      </c>
      <c r="R23" s="102">
        <v>44834</v>
      </c>
      <c r="S23" s="103">
        <v>37</v>
      </c>
      <c r="T23" s="103">
        <v>1</v>
      </c>
      <c r="U23" s="103">
        <v>1</v>
      </c>
      <c r="V23" s="103">
        <v>1</v>
      </c>
      <c r="W23" s="103">
        <v>0</v>
      </c>
      <c r="X23" s="104">
        <v>1</v>
      </c>
      <c r="Y23" s="104">
        <v>1</v>
      </c>
      <c r="Z23" s="104">
        <v>0</v>
      </c>
      <c r="AC23" s="103">
        <v>0</v>
      </c>
      <c r="AD23" s="103">
        <v>0</v>
      </c>
    </row>
    <row r="24" spans="1:30">
      <c r="A24" s="105" t="s">
        <v>786</v>
      </c>
      <c r="B24" s="105" t="s">
        <v>1641</v>
      </c>
      <c r="C24" s="105" t="s">
        <v>1466</v>
      </c>
      <c r="D24" s="105" t="s">
        <v>1641</v>
      </c>
      <c r="M24" s="105" t="s">
        <v>1519</v>
      </c>
      <c r="N24" s="105" t="s">
        <v>1621</v>
      </c>
      <c r="O24" s="102">
        <v>44831</v>
      </c>
      <c r="P24" s="102">
        <v>44832</v>
      </c>
      <c r="Q24" s="102">
        <v>44809</v>
      </c>
      <c r="R24" s="102">
        <v>44834</v>
      </c>
      <c r="S24" s="103">
        <v>37</v>
      </c>
      <c r="T24" s="103">
        <v>1</v>
      </c>
      <c r="U24" s="103">
        <v>2</v>
      </c>
      <c r="V24" s="103">
        <v>2</v>
      </c>
      <c r="W24" s="103">
        <v>0</v>
      </c>
      <c r="X24" s="104">
        <v>1</v>
      </c>
      <c r="Y24" s="104">
        <v>1</v>
      </c>
      <c r="Z24" s="104">
        <v>0</v>
      </c>
      <c r="AC24" s="103">
        <v>0</v>
      </c>
      <c r="AD24" s="103">
        <v>0</v>
      </c>
    </row>
    <row r="25" spans="1:30">
      <c r="A25" s="105" t="s">
        <v>786</v>
      </c>
      <c r="B25" s="105" t="s">
        <v>1642</v>
      </c>
      <c r="C25" s="105" t="s">
        <v>1466</v>
      </c>
      <c r="D25" s="105" t="s">
        <v>1642</v>
      </c>
      <c r="M25" s="105" t="s">
        <v>1520</v>
      </c>
      <c r="N25" s="105" t="s">
        <v>1621</v>
      </c>
      <c r="O25" s="102">
        <v>44833</v>
      </c>
      <c r="P25" s="102">
        <v>44848</v>
      </c>
      <c r="Q25" s="102">
        <v>44809</v>
      </c>
      <c r="R25" s="102">
        <v>44834</v>
      </c>
      <c r="S25" s="103">
        <v>37</v>
      </c>
      <c r="T25" s="103">
        <v>1</v>
      </c>
      <c r="U25" s="103">
        <v>2</v>
      </c>
      <c r="V25" s="103">
        <v>2</v>
      </c>
      <c r="W25" s="103">
        <v>0</v>
      </c>
      <c r="X25" s="104">
        <v>1</v>
      </c>
      <c r="Y25" s="104">
        <v>1</v>
      </c>
      <c r="Z25" s="104">
        <v>0</v>
      </c>
      <c r="AC25" s="103">
        <v>0</v>
      </c>
      <c r="AD25" s="103">
        <v>0</v>
      </c>
    </row>
    <row r="26" spans="1:30">
      <c r="A26" s="105" t="s">
        <v>786</v>
      </c>
      <c r="B26" s="105" t="s">
        <v>1642</v>
      </c>
      <c r="C26" s="105" t="s">
        <v>1466</v>
      </c>
      <c r="D26" s="105" t="s">
        <v>1642</v>
      </c>
      <c r="M26" s="105" t="s">
        <v>1520</v>
      </c>
      <c r="N26" s="105" t="s">
        <v>1621</v>
      </c>
      <c r="O26" s="102">
        <v>44833</v>
      </c>
      <c r="P26" s="102">
        <v>44848</v>
      </c>
      <c r="Q26" s="102">
        <v>44835</v>
      </c>
      <c r="R26" s="102">
        <v>44865</v>
      </c>
      <c r="S26" s="103">
        <v>40</v>
      </c>
      <c r="T26" s="103">
        <v>4</v>
      </c>
      <c r="U26" s="103">
        <v>8</v>
      </c>
      <c r="V26" s="103">
        <v>8</v>
      </c>
      <c r="W26" s="103">
        <v>0</v>
      </c>
      <c r="X26" s="104">
        <v>1</v>
      </c>
      <c r="Y26" s="104">
        <v>1</v>
      </c>
      <c r="Z26" s="104">
        <v>0</v>
      </c>
      <c r="AC26" s="103">
        <v>0</v>
      </c>
      <c r="AD26" s="103">
        <v>0</v>
      </c>
    </row>
    <row r="27" spans="1:30">
      <c r="A27" s="105" t="s">
        <v>786</v>
      </c>
      <c r="B27" s="105" t="s">
        <v>1643</v>
      </c>
      <c r="C27" s="105" t="s">
        <v>1466</v>
      </c>
      <c r="D27" s="105" t="s">
        <v>1643</v>
      </c>
      <c r="M27" s="105" t="s">
        <v>1521</v>
      </c>
      <c r="N27" s="105" t="s">
        <v>1621</v>
      </c>
      <c r="O27" s="102">
        <v>44851</v>
      </c>
      <c r="P27" s="102">
        <v>44852</v>
      </c>
      <c r="Q27" s="102">
        <v>44835</v>
      </c>
      <c r="R27" s="102">
        <v>44865</v>
      </c>
      <c r="S27" s="103">
        <v>40</v>
      </c>
      <c r="T27" s="103">
        <v>4</v>
      </c>
      <c r="U27" s="103">
        <v>2</v>
      </c>
      <c r="V27" s="103">
        <v>0</v>
      </c>
      <c r="W27" s="103">
        <v>0</v>
      </c>
      <c r="X27" s="104">
        <v>1</v>
      </c>
      <c r="Y27" s="104">
        <v>0</v>
      </c>
      <c r="Z27" s="104">
        <v>0</v>
      </c>
      <c r="AC27" s="103">
        <v>0</v>
      </c>
      <c r="AD27" s="103">
        <v>0</v>
      </c>
    </row>
    <row r="28" spans="1:30">
      <c r="A28" s="105" t="s">
        <v>786</v>
      </c>
      <c r="B28" s="105" t="s">
        <v>1644</v>
      </c>
      <c r="C28" s="105" t="s">
        <v>1465</v>
      </c>
      <c r="D28" s="105" t="s">
        <v>1644</v>
      </c>
      <c r="M28" s="105" t="s">
        <v>1523</v>
      </c>
      <c r="N28" s="105" t="s">
        <v>1622</v>
      </c>
      <c r="O28" s="102">
        <v>44831</v>
      </c>
      <c r="P28" s="102">
        <v>44833</v>
      </c>
      <c r="Q28" s="102">
        <v>44809</v>
      </c>
      <c r="R28" s="102">
        <v>44834</v>
      </c>
      <c r="S28" s="103">
        <v>37</v>
      </c>
      <c r="T28" s="103">
        <v>1</v>
      </c>
      <c r="U28" s="103">
        <v>3</v>
      </c>
      <c r="V28" s="103">
        <v>3</v>
      </c>
      <c r="W28" s="103">
        <v>0</v>
      </c>
      <c r="X28" s="104">
        <v>1</v>
      </c>
      <c r="Y28" s="104">
        <v>1</v>
      </c>
      <c r="Z28" s="104">
        <v>0</v>
      </c>
      <c r="AC28" s="103">
        <v>0</v>
      </c>
      <c r="AD28" s="103">
        <v>0</v>
      </c>
    </row>
    <row r="29" spans="1:30">
      <c r="A29" s="105" t="s">
        <v>786</v>
      </c>
      <c r="B29" s="105" t="s">
        <v>1645</v>
      </c>
      <c r="C29" s="105" t="s">
        <v>1465</v>
      </c>
      <c r="D29" s="105" t="s">
        <v>1645</v>
      </c>
      <c r="M29" s="105" t="s">
        <v>1524</v>
      </c>
      <c r="N29" s="105" t="s">
        <v>1622</v>
      </c>
      <c r="O29" s="102">
        <v>44834</v>
      </c>
      <c r="P29" s="102">
        <v>44839</v>
      </c>
      <c r="Q29" s="102">
        <v>44809</v>
      </c>
      <c r="R29" s="102">
        <v>44834</v>
      </c>
      <c r="S29" s="103">
        <v>37</v>
      </c>
      <c r="T29" s="103">
        <v>1</v>
      </c>
      <c r="U29" s="103">
        <v>1</v>
      </c>
      <c r="V29" s="103">
        <v>1</v>
      </c>
      <c r="W29" s="103">
        <v>0</v>
      </c>
      <c r="X29" s="104">
        <v>1</v>
      </c>
      <c r="Y29" s="104">
        <v>1</v>
      </c>
      <c r="Z29" s="104">
        <v>0</v>
      </c>
      <c r="AC29" s="103">
        <v>0</v>
      </c>
      <c r="AD29" s="103">
        <v>0</v>
      </c>
    </row>
    <row r="30" spans="1:30">
      <c r="A30" s="105" t="s">
        <v>786</v>
      </c>
      <c r="B30" s="105" t="s">
        <v>1645</v>
      </c>
      <c r="C30" s="105" t="s">
        <v>1465</v>
      </c>
      <c r="D30" s="105" t="s">
        <v>1645</v>
      </c>
      <c r="M30" s="105" t="s">
        <v>1524</v>
      </c>
      <c r="N30" s="105" t="s">
        <v>1622</v>
      </c>
      <c r="O30" s="102">
        <v>44834</v>
      </c>
      <c r="P30" s="102">
        <v>44839</v>
      </c>
      <c r="Q30" s="102">
        <v>44835</v>
      </c>
      <c r="R30" s="102">
        <v>44865</v>
      </c>
      <c r="S30" s="103">
        <v>40</v>
      </c>
      <c r="T30" s="103">
        <v>4</v>
      </c>
      <c r="U30" s="103">
        <v>2</v>
      </c>
      <c r="V30" s="103">
        <v>2</v>
      </c>
      <c r="W30" s="103">
        <v>0</v>
      </c>
      <c r="X30" s="104">
        <v>1</v>
      </c>
      <c r="Y30" s="104">
        <v>1</v>
      </c>
      <c r="Z30" s="104">
        <v>0</v>
      </c>
      <c r="AC30" s="103">
        <v>0</v>
      </c>
      <c r="AD30" s="103">
        <v>0</v>
      </c>
    </row>
    <row r="31" spans="1:30">
      <c r="A31" s="105" t="s">
        <v>786</v>
      </c>
      <c r="B31" s="105" t="s">
        <v>1646</v>
      </c>
      <c r="C31" s="105" t="s">
        <v>1465</v>
      </c>
      <c r="D31" s="105" t="s">
        <v>1646</v>
      </c>
      <c r="M31" s="105" t="s">
        <v>1525</v>
      </c>
      <c r="N31" s="105" t="s">
        <v>1622</v>
      </c>
      <c r="O31" s="102">
        <v>44840</v>
      </c>
      <c r="P31" s="102">
        <v>44845</v>
      </c>
      <c r="Q31" s="102">
        <v>44835</v>
      </c>
      <c r="R31" s="102">
        <v>44865</v>
      </c>
      <c r="S31" s="103">
        <v>40</v>
      </c>
      <c r="T31" s="103">
        <v>4</v>
      </c>
      <c r="U31" s="103">
        <v>3</v>
      </c>
      <c r="V31" s="103">
        <v>3</v>
      </c>
      <c r="W31" s="103">
        <v>0</v>
      </c>
      <c r="X31" s="104">
        <v>1</v>
      </c>
      <c r="Y31" s="104">
        <v>1</v>
      </c>
      <c r="Z31" s="104">
        <v>0</v>
      </c>
      <c r="AC31" s="103">
        <v>0</v>
      </c>
      <c r="AD31" s="103">
        <v>0</v>
      </c>
    </row>
    <row r="32" spans="1:30">
      <c r="A32" s="105" t="s">
        <v>786</v>
      </c>
      <c r="B32" s="105" t="s">
        <v>1647</v>
      </c>
      <c r="C32" s="105" t="s">
        <v>1465</v>
      </c>
      <c r="D32" s="105" t="s">
        <v>1647</v>
      </c>
      <c r="M32" s="105" t="s">
        <v>1526</v>
      </c>
      <c r="N32" s="105" t="s">
        <v>1622</v>
      </c>
      <c r="O32" s="102">
        <v>44840</v>
      </c>
      <c r="P32" s="102">
        <v>44845</v>
      </c>
      <c r="Q32" s="102">
        <v>44835</v>
      </c>
      <c r="R32" s="102">
        <v>44865</v>
      </c>
      <c r="S32" s="103">
        <v>40</v>
      </c>
      <c r="T32" s="103">
        <v>4</v>
      </c>
      <c r="U32" s="103">
        <v>3</v>
      </c>
      <c r="V32" s="103">
        <v>3</v>
      </c>
      <c r="W32" s="103">
        <v>0</v>
      </c>
      <c r="X32" s="104">
        <v>1</v>
      </c>
      <c r="Y32" s="104">
        <v>1</v>
      </c>
      <c r="Z32" s="104">
        <v>0</v>
      </c>
      <c r="AC32" s="103">
        <v>0</v>
      </c>
      <c r="AD32" s="103">
        <v>0</v>
      </c>
    </row>
    <row r="33" spans="1:30">
      <c r="A33" s="105" t="s">
        <v>786</v>
      </c>
      <c r="B33" s="105" t="s">
        <v>1648</v>
      </c>
      <c r="C33" s="105" t="s">
        <v>1465</v>
      </c>
      <c r="D33" s="105" t="s">
        <v>1648</v>
      </c>
      <c r="M33" s="105" t="s">
        <v>1527</v>
      </c>
      <c r="N33" s="105" t="s">
        <v>1622</v>
      </c>
      <c r="O33" s="102">
        <v>44840</v>
      </c>
      <c r="P33" s="102">
        <v>44845</v>
      </c>
      <c r="Q33" s="102">
        <v>44835</v>
      </c>
      <c r="R33" s="102">
        <v>44865</v>
      </c>
      <c r="S33" s="103">
        <v>40</v>
      </c>
      <c r="T33" s="103">
        <v>4</v>
      </c>
      <c r="U33" s="103">
        <v>3</v>
      </c>
      <c r="V33" s="103">
        <v>3</v>
      </c>
      <c r="W33" s="103">
        <v>0</v>
      </c>
      <c r="X33" s="104">
        <v>1</v>
      </c>
      <c r="Y33" s="104">
        <v>1</v>
      </c>
      <c r="Z33" s="104">
        <v>0</v>
      </c>
      <c r="AC33" s="103">
        <v>0</v>
      </c>
      <c r="AD33" s="103">
        <v>0</v>
      </c>
    </row>
    <row r="34" spans="1:30">
      <c r="A34" s="105" t="s">
        <v>1464</v>
      </c>
      <c r="B34" s="105" t="s">
        <v>1652</v>
      </c>
      <c r="C34" s="105" t="s">
        <v>1649</v>
      </c>
      <c r="D34" s="105" t="s">
        <v>1650</v>
      </c>
      <c r="E34" s="105" t="s">
        <v>1651</v>
      </c>
      <c r="F34" s="105" t="s">
        <v>1652</v>
      </c>
      <c r="M34" s="105" t="s">
        <v>1530</v>
      </c>
      <c r="N34" s="105" t="s">
        <v>1623</v>
      </c>
      <c r="O34" s="102">
        <v>44840</v>
      </c>
      <c r="P34" s="102">
        <v>44845</v>
      </c>
      <c r="Q34" s="102">
        <v>44835</v>
      </c>
      <c r="R34" s="102">
        <v>44865</v>
      </c>
      <c r="S34" s="103">
        <v>40</v>
      </c>
      <c r="T34" s="103">
        <v>4</v>
      </c>
      <c r="U34" s="103">
        <v>3</v>
      </c>
      <c r="V34" s="103">
        <v>3</v>
      </c>
      <c r="W34" s="103">
        <v>0</v>
      </c>
      <c r="X34" s="104">
        <v>1</v>
      </c>
      <c r="Y34" s="104">
        <v>1</v>
      </c>
      <c r="Z34" s="104">
        <v>0</v>
      </c>
      <c r="AC34" s="103">
        <v>0</v>
      </c>
      <c r="AD34" s="103">
        <v>0</v>
      </c>
    </row>
    <row r="35" spans="1:30">
      <c r="A35" s="105" t="s">
        <v>1466</v>
      </c>
      <c r="B35" s="105" t="s">
        <v>1654</v>
      </c>
      <c r="C35" s="105" t="s">
        <v>1649</v>
      </c>
      <c r="D35" s="105" t="s">
        <v>1650</v>
      </c>
      <c r="E35" s="105" t="s">
        <v>1651</v>
      </c>
      <c r="F35" s="105" t="s">
        <v>1653</v>
      </c>
      <c r="G35" s="105" t="s">
        <v>1654</v>
      </c>
      <c r="M35" s="105" t="s">
        <v>1531</v>
      </c>
      <c r="N35" s="105" t="s">
        <v>1623</v>
      </c>
      <c r="O35" s="102">
        <v>44840</v>
      </c>
      <c r="P35" s="102">
        <v>44841</v>
      </c>
      <c r="Q35" s="102">
        <v>44835</v>
      </c>
      <c r="R35" s="102">
        <v>44865</v>
      </c>
      <c r="S35" s="103">
        <v>40</v>
      </c>
      <c r="T35" s="103">
        <v>4</v>
      </c>
      <c r="U35" s="103">
        <v>2</v>
      </c>
      <c r="V35" s="103">
        <v>2</v>
      </c>
      <c r="W35" s="103">
        <v>0</v>
      </c>
      <c r="X35" s="104">
        <v>1</v>
      </c>
      <c r="Y35" s="104">
        <v>1</v>
      </c>
      <c r="Z35" s="104">
        <v>0</v>
      </c>
      <c r="AC35" s="103">
        <v>0</v>
      </c>
      <c r="AD35" s="103">
        <v>0</v>
      </c>
    </row>
    <row r="36" spans="1:30">
      <c r="A36" s="105" t="s">
        <v>1466</v>
      </c>
      <c r="B36" s="105" t="s">
        <v>1655</v>
      </c>
      <c r="C36" s="105" t="s">
        <v>1649</v>
      </c>
      <c r="D36" s="105" t="s">
        <v>1650</v>
      </c>
      <c r="E36" s="105" t="s">
        <v>1651</v>
      </c>
      <c r="F36" s="105" t="s">
        <v>1653</v>
      </c>
      <c r="G36" s="105" t="s">
        <v>1655</v>
      </c>
      <c r="M36" s="105" t="s">
        <v>1532</v>
      </c>
      <c r="N36" s="105" t="s">
        <v>1623</v>
      </c>
      <c r="O36" s="102">
        <v>44845</v>
      </c>
      <c r="P36" s="102">
        <v>44846</v>
      </c>
      <c r="Q36" s="102">
        <v>44835</v>
      </c>
      <c r="R36" s="102">
        <v>44865</v>
      </c>
      <c r="S36" s="103">
        <v>40</v>
      </c>
      <c r="T36" s="103">
        <v>4</v>
      </c>
      <c r="U36" s="103">
        <v>2</v>
      </c>
      <c r="V36" s="103">
        <v>2</v>
      </c>
      <c r="W36" s="103">
        <v>0</v>
      </c>
      <c r="X36" s="104">
        <v>1</v>
      </c>
      <c r="Y36" s="104">
        <v>1</v>
      </c>
      <c r="Z36" s="104">
        <v>0</v>
      </c>
      <c r="AC36" s="103">
        <v>0</v>
      </c>
      <c r="AD36" s="103">
        <v>0</v>
      </c>
    </row>
    <row r="37" spans="1:30">
      <c r="A37" s="105" t="s">
        <v>1466</v>
      </c>
      <c r="B37" s="105" t="s">
        <v>1656</v>
      </c>
      <c r="C37" s="105" t="s">
        <v>1649</v>
      </c>
      <c r="D37" s="105" t="s">
        <v>1650</v>
      </c>
      <c r="E37" s="105" t="s">
        <v>1651</v>
      </c>
      <c r="F37" s="105" t="s">
        <v>1653</v>
      </c>
      <c r="G37" s="105" t="s">
        <v>1656</v>
      </c>
      <c r="M37" s="105" t="s">
        <v>1533</v>
      </c>
      <c r="N37" s="105" t="s">
        <v>1623</v>
      </c>
      <c r="O37" s="102">
        <v>44847</v>
      </c>
      <c r="P37" s="102">
        <v>44851</v>
      </c>
      <c r="Q37" s="102">
        <v>44835</v>
      </c>
      <c r="R37" s="102">
        <v>44865</v>
      </c>
      <c r="S37" s="103">
        <v>40</v>
      </c>
      <c r="T37" s="103">
        <v>4</v>
      </c>
      <c r="U37" s="103">
        <v>3</v>
      </c>
      <c r="V37" s="103">
        <v>2</v>
      </c>
      <c r="W37" s="103">
        <v>0</v>
      </c>
      <c r="X37" s="104">
        <v>1</v>
      </c>
      <c r="Y37" s="104">
        <v>0.66666666666666663</v>
      </c>
      <c r="Z37" s="104">
        <v>0</v>
      </c>
      <c r="AC37" s="103">
        <v>0</v>
      </c>
      <c r="AD37" s="103">
        <v>0</v>
      </c>
    </row>
    <row r="38" spans="1:30">
      <c r="A38" s="105" t="s">
        <v>1466</v>
      </c>
      <c r="B38" s="105" t="s">
        <v>1659</v>
      </c>
      <c r="C38" s="105" t="s">
        <v>1649</v>
      </c>
      <c r="D38" s="105" t="s">
        <v>1650</v>
      </c>
      <c r="E38" s="105" t="s">
        <v>1657</v>
      </c>
      <c r="F38" s="105" t="s">
        <v>1658</v>
      </c>
      <c r="G38" s="105" t="s">
        <v>1659</v>
      </c>
      <c r="M38" s="105" t="s">
        <v>1536</v>
      </c>
      <c r="N38" s="105" t="s">
        <v>1623</v>
      </c>
      <c r="O38" s="102">
        <v>44852</v>
      </c>
      <c r="P38" s="102">
        <v>44852</v>
      </c>
      <c r="Q38" s="102">
        <v>44835</v>
      </c>
      <c r="R38" s="102">
        <v>44865</v>
      </c>
      <c r="S38" s="103">
        <v>40</v>
      </c>
      <c r="T38" s="103">
        <v>4</v>
      </c>
      <c r="U38" s="103">
        <v>1</v>
      </c>
      <c r="V38" s="103">
        <v>0</v>
      </c>
      <c r="W38" s="103">
        <v>0</v>
      </c>
      <c r="X38" s="104">
        <v>1</v>
      </c>
      <c r="Y38" s="104">
        <v>0</v>
      </c>
      <c r="Z38" s="104">
        <v>0</v>
      </c>
      <c r="AC38" s="103">
        <v>0</v>
      </c>
      <c r="AD38" s="103">
        <v>0</v>
      </c>
    </row>
    <row r="39" spans="1:30">
      <c r="A39" s="105" t="s">
        <v>1466</v>
      </c>
      <c r="B39" s="105" t="s">
        <v>1660</v>
      </c>
      <c r="C39" s="105" t="s">
        <v>1649</v>
      </c>
      <c r="D39" s="105" t="s">
        <v>1650</v>
      </c>
      <c r="E39" s="105" t="s">
        <v>1657</v>
      </c>
      <c r="F39" s="105" t="s">
        <v>1658</v>
      </c>
      <c r="G39" s="105" t="s">
        <v>1660</v>
      </c>
      <c r="M39" s="105" t="s">
        <v>1537</v>
      </c>
      <c r="N39" s="105" t="s">
        <v>1623</v>
      </c>
      <c r="O39" s="102">
        <v>44853</v>
      </c>
      <c r="P39" s="102">
        <v>44853</v>
      </c>
      <c r="Q39" s="102">
        <v>44835</v>
      </c>
      <c r="R39" s="102">
        <v>44865</v>
      </c>
      <c r="S39" s="103">
        <v>40</v>
      </c>
      <c r="T39" s="103">
        <v>4</v>
      </c>
      <c r="U39" s="103">
        <v>1</v>
      </c>
      <c r="V39" s="103">
        <v>0</v>
      </c>
      <c r="W39" s="103">
        <v>0</v>
      </c>
      <c r="X39" s="104">
        <v>1</v>
      </c>
      <c r="Y39" s="104">
        <v>0</v>
      </c>
      <c r="Z39" s="104">
        <v>0</v>
      </c>
      <c r="AC39" s="103">
        <v>0</v>
      </c>
      <c r="AD39" s="103">
        <v>0</v>
      </c>
    </row>
    <row r="40" spans="1:30">
      <c r="A40" s="105" t="s">
        <v>1466</v>
      </c>
      <c r="B40" s="105" t="s">
        <v>1661</v>
      </c>
      <c r="C40" s="105" t="s">
        <v>1649</v>
      </c>
      <c r="D40" s="105" t="s">
        <v>1650</v>
      </c>
      <c r="E40" s="105" t="s">
        <v>1657</v>
      </c>
      <c r="F40" s="105" t="s">
        <v>1658</v>
      </c>
      <c r="G40" s="105" t="s">
        <v>1661</v>
      </c>
      <c r="M40" s="105" t="s">
        <v>1538</v>
      </c>
      <c r="N40" s="105" t="s">
        <v>1623</v>
      </c>
      <c r="O40" s="102">
        <v>44854</v>
      </c>
      <c r="P40" s="102">
        <v>44854</v>
      </c>
      <c r="Q40" s="102">
        <v>44835</v>
      </c>
      <c r="R40" s="102">
        <v>44865</v>
      </c>
      <c r="S40" s="103">
        <v>40</v>
      </c>
      <c r="T40" s="103">
        <v>4</v>
      </c>
      <c r="U40" s="103">
        <v>1</v>
      </c>
      <c r="V40" s="103">
        <v>0</v>
      </c>
      <c r="W40" s="103">
        <v>0</v>
      </c>
      <c r="X40" s="104">
        <v>1</v>
      </c>
      <c r="Y40" s="104">
        <v>0</v>
      </c>
      <c r="Z40" s="104">
        <v>0</v>
      </c>
      <c r="AC40" s="103">
        <v>0</v>
      </c>
      <c r="AD40" s="103">
        <v>0</v>
      </c>
    </row>
    <row r="41" spans="1:30">
      <c r="A41" s="105" t="s">
        <v>1466</v>
      </c>
      <c r="B41" s="105" t="s">
        <v>1662</v>
      </c>
      <c r="C41" s="105" t="s">
        <v>1649</v>
      </c>
      <c r="D41" s="105" t="s">
        <v>1650</v>
      </c>
      <c r="E41" s="105" t="s">
        <v>1657</v>
      </c>
      <c r="F41" s="105" t="s">
        <v>1658</v>
      </c>
      <c r="G41" s="105" t="s">
        <v>1662</v>
      </c>
      <c r="M41" s="105" t="s">
        <v>1539</v>
      </c>
      <c r="N41" s="105" t="s">
        <v>1623</v>
      </c>
      <c r="O41" s="102">
        <v>44855</v>
      </c>
      <c r="P41" s="102">
        <v>44855</v>
      </c>
      <c r="Q41" s="102">
        <v>44835</v>
      </c>
      <c r="R41" s="102">
        <v>44865</v>
      </c>
      <c r="S41" s="103">
        <v>40</v>
      </c>
      <c r="T41" s="103">
        <v>4</v>
      </c>
      <c r="U41" s="103">
        <v>1</v>
      </c>
      <c r="V41" s="103">
        <v>0</v>
      </c>
      <c r="W41" s="103">
        <v>0</v>
      </c>
      <c r="X41" s="104">
        <v>1</v>
      </c>
      <c r="Y41" s="104">
        <v>0</v>
      </c>
      <c r="Z41" s="104">
        <v>0</v>
      </c>
      <c r="AC41" s="103">
        <v>0</v>
      </c>
      <c r="AD41" s="103">
        <v>0</v>
      </c>
    </row>
    <row r="42" spans="1:30">
      <c r="A42" s="105" t="s">
        <v>1466</v>
      </c>
      <c r="B42" s="105" t="s">
        <v>1664</v>
      </c>
      <c r="C42" s="105" t="s">
        <v>1649</v>
      </c>
      <c r="D42" s="105" t="s">
        <v>1650</v>
      </c>
      <c r="E42" s="105" t="s">
        <v>1657</v>
      </c>
      <c r="F42" s="105" t="s">
        <v>1663</v>
      </c>
      <c r="G42" s="105" t="s">
        <v>1664</v>
      </c>
      <c r="M42" s="105" t="s">
        <v>1541</v>
      </c>
      <c r="N42" s="105" t="s">
        <v>1623</v>
      </c>
      <c r="O42" s="102">
        <v>44858</v>
      </c>
      <c r="P42" s="102">
        <v>44860</v>
      </c>
      <c r="Q42" s="102">
        <v>44835</v>
      </c>
      <c r="R42" s="102">
        <v>44865</v>
      </c>
      <c r="S42" s="103">
        <v>40</v>
      </c>
      <c r="T42" s="103">
        <v>4</v>
      </c>
      <c r="U42" s="103">
        <v>3</v>
      </c>
      <c r="V42" s="103">
        <v>0</v>
      </c>
      <c r="W42" s="103">
        <v>0</v>
      </c>
      <c r="X42" s="104">
        <v>1</v>
      </c>
      <c r="Y42" s="104">
        <v>0</v>
      </c>
      <c r="Z42" s="104">
        <v>0</v>
      </c>
      <c r="AC42" s="103">
        <v>0</v>
      </c>
      <c r="AD42" s="103">
        <v>0</v>
      </c>
    </row>
    <row r="43" spans="1:30">
      <c r="A43" s="105" t="s">
        <v>1466</v>
      </c>
      <c r="B43" s="105" t="s">
        <v>1665</v>
      </c>
      <c r="C43" s="105" t="s">
        <v>1649</v>
      </c>
      <c r="D43" s="105" t="s">
        <v>1650</v>
      </c>
      <c r="E43" s="105" t="s">
        <v>1657</v>
      </c>
      <c r="F43" s="105" t="s">
        <v>1663</v>
      </c>
      <c r="G43" s="105" t="s">
        <v>1665</v>
      </c>
      <c r="M43" s="105" t="s">
        <v>1542</v>
      </c>
      <c r="N43" s="105" t="s">
        <v>1623</v>
      </c>
      <c r="O43" s="102">
        <v>44861</v>
      </c>
      <c r="P43" s="102">
        <v>44865</v>
      </c>
      <c r="Q43" s="102">
        <v>44835</v>
      </c>
      <c r="R43" s="102">
        <v>44865</v>
      </c>
      <c r="S43" s="103">
        <v>40</v>
      </c>
      <c r="T43" s="103">
        <v>4</v>
      </c>
      <c r="U43" s="103">
        <v>3</v>
      </c>
      <c r="V43" s="103">
        <v>0</v>
      </c>
      <c r="W43" s="103">
        <v>0</v>
      </c>
      <c r="X43" s="104">
        <v>1</v>
      </c>
      <c r="Y43" s="104">
        <v>0</v>
      </c>
      <c r="Z43" s="104">
        <v>0</v>
      </c>
      <c r="AC43" s="103">
        <v>0</v>
      </c>
      <c r="AD43" s="103">
        <v>0</v>
      </c>
    </row>
    <row r="44" spans="1:30">
      <c r="A44" s="105" t="s">
        <v>1466</v>
      </c>
      <c r="B44" s="105" t="s">
        <v>1667</v>
      </c>
      <c r="C44" s="105" t="s">
        <v>1649</v>
      </c>
      <c r="D44" s="105" t="s">
        <v>1650</v>
      </c>
      <c r="E44" s="105" t="s">
        <v>1657</v>
      </c>
      <c r="F44" s="105" t="s">
        <v>1666</v>
      </c>
      <c r="G44" s="105" t="s">
        <v>1667</v>
      </c>
      <c r="M44" s="105" t="s">
        <v>1544</v>
      </c>
      <c r="N44" s="105" t="s">
        <v>1623</v>
      </c>
      <c r="O44" s="102">
        <v>44866</v>
      </c>
      <c r="P44" s="102">
        <v>44872</v>
      </c>
      <c r="Q44" s="102">
        <v>44866</v>
      </c>
      <c r="R44" s="102">
        <v>44895</v>
      </c>
      <c r="S44" s="103">
        <v>45</v>
      </c>
      <c r="T44" s="103">
        <v>9</v>
      </c>
      <c r="U44" s="103">
        <v>5</v>
      </c>
      <c r="V44" s="103">
        <v>0</v>
      </c>
      <c r="W44" s="103">
        <v>0</v>
      </c>
      <c r="X44" s="104">
        <v>1</v>
      </c>
      <c r="Y44" s="104">
        <v>0</v>
      </c>
      <c r="Z44" s="104">
        <v>0</v>
      </c>
      <c r="AC44" s="103">
        <v>0</v>
      </c>
      <c r="AD44" s="103">
        <v>0</v>
      </c>
    </row>
    <row r="45" spans="1:30">
      <c r="A45" s="105" t="s">
        <v>1466</v>
      </c>
      <c r="B45" s="105" t="s">
        <v>1668</v>
      </c>
      <c r="C45" s="105" t="s">
        <v>1649</v>
      </c>
      <c r="D45" s="105" t="s">
        <v>1650</v>
      </c>
      <c r="E45" s="105" t="s">
        <v>1657</v>
      </c>
      <c r="F45" s="105" t="s">
        <v>1666</v>
      </c>
      <c r="G45" s="105" t="s">
        <v>1668</v>
      </c>
      <c r="M45" s="105" t="s">
        <v>1545</v>
      </c>
      <c r="N45" s="105" t="s">
        <v>1623</v>
      </c>
      <c r="O45" s="102">
        <v>44873</v>
      </c>
      <c r="P45" s="102">
        <v>44875</v>
      </c>
      <c r="Q45" s="102">
        <v>44866</v>
      </c>
      <c r="R45" s="102">
        <v>44895</v>
      </c>
      <c r="S45" s="103">
        <v>45</v>
      </c>
      <c r="T45" s="103">
        <v>9</v>
      </c>
      <c r="U45" s="103">
        <v>3</v>
      </c>
      <c r="V45" s="103">
        <v>0</v>
      </c>
      <c r="W45" s="103">
        <v>0</v>
      </c>
      <c r="X45" s="104">
        <v>1</v>
      </c>
      <c r="Y45" s="104">
        <v>0</v>
      </c>
      <c r="Z45" s="104">
        <v>0</v>
      </c>
      <c r="AC45" s="103">
        <v>0</v>
      </c>
      <c r="AD45" s="103">
        <v>0</v>
      </c>
    </row>
    <row r="46" spans="1:30">
      <c r="A46" s="105" t="s">
        <v>1466</v>
      </c>
      <c r="B46" s="105" t="s">
        <v>1669</v>
      </c>
      <c r="C46" s="105" t="s">
        <v>1649</v>
      </c>
      <c r="D46" s="105" t="s">
        <v>1650</v>
      </c>
      <c r="E46" s="105" t="s">
        <v>1657</v>
      </c>
      <c r="F46" s="105" t="s">
        <v>1666</v>
      </c>
      <c r="G46" s="105" t="s">
        <v>1669</v>
      </c>
      <c r="M46" s="105" t="s">
        <v>1546</v>
      </c>
      <c r="N46" s="105" t="s">
        <v>1623</v>
      </c>
      <c r="O46" s="102">
        <v>44876</v>
      </c>
      <c r="P46" s="102">
        <v>44880</v>
      </c>
      <c r="Q46" s="102">
        <v>44866</v>
      </c>
      <c r="R46" s="102">
        <v>44895</v>
      </c>
      <c r="S46" s="103">
        <v>45</v>
      </c>
      <c r="T46" s="103">
        <v>9</v>
      </c>
      <c r="U46" s="103">
        <v>3</v>
      </c>
      <c r="V46" s="103">
        <v>0</v>
      </c>
      <c r="W46" s="103">
        <v>0</v>
      </c>
      <c r="X46" s="104">
        <v>1</v>
      </c>
      <c r="Y46" s="104">
        <v>0</v>
      </c>
      <c r="Z46" s="104">
        <v>0</v>
      </c>
      <c r="AC46" s="103">
        <v>0</v>
      </c>
      <c r="AD46" s="103">
        <v>0</v>
      </c>
    </row>
    <row r="47" spans="1:30">
      <c r="A47" s="105" t="s">
        <v>1466</v>
      </c>
      <c r="B47" s="105" t="s">
        <v>1670</v>
      </c>
      <c r="C47" s="105" t="s">
        <v>1649</v>
      </c>
      <c r="D47" s="105" t="s">
        <v>1650</v>
      </c>
      <c r="E47" s="105" t="s">
        <v>1657</v>
      </c>
      <c r="F47" s="105" t="s">
        <v>1666</v>
      </c>
      <c r="G47" s="105" t="s">
        <v>1670</v>
      </c>
      <c r="M47" s="105" t="s">
        <v>1547</v>
      </c>
      <c r="N47" s="105" t="s">
        <v>1623</v>
      </c>
      <c r="O47" s="102">
        <v>44881</v>
      </c>
      <c r="P47" s="102">
        <v>44883</v>
      </c>
      <c r="Q47" s="102">
        <v>44866</v>
      </c>
      <c r="R47" s="102">
        <v>44895</v>
      </c>
      <c r="S47" s="103">
        <v>45</v>
      </c>
      <c r="T47" s="103">
        <v>9</v>
      </c>
      <c r="U47" s="103">
        <v>3</v>
      </c>
      <c r="V47" s="103">
        <v>0</v>
      </c>
      <c r="W47" s="103">
        <v>0</v>
      </c>
      <c r="X47" s="104">
        <v>1</v>
      </c>
      <c r="Y47" s="104">
        <v>0</v>
      </c>
      <c r="Z47" s="104">
        <v>0</v>
      </c>
      <c r="AC47" s="103">
        <v>0</v>
      </c>
      <c r="AD47" s="103">
        <v>0</v>
      </c>
    </row>
    <row r="48" spans="1:30">
      <c r="A48" s="105" t="s">
        <v>1466</v>
      </c>
      <c r="B48" s="105" t="s">
        <v>1671</v>
      </c>
      <c r="C48" s="105" t="s">
        <v>1649</v>
      </c>
      <c r="D48" s="105" t="s">
        <v>1650</v>
      </c>
      <c r="E48" s="105" t="s">
        <v>1657</v>
      </c>
      <c r="F48" s="105" t="s">
        <v>1666</v>
      </c>
      <c r="G48" s="105" t="s">
        <v>1671</v>
      </c>
      <c r="M48" s="105" t="s">
        <v>1548</v>
      </c>
      <c r="N48" s="105" t="s">
        <v>1623</v>
      </c>
      <c r="O48" s="102">
        <v>44886</v>
      </c>
      <c r="P48" s="102">
        <v>44888</v>
      </c>
      <c r="Q48" s="102">
        <v>44866</v>
      </c>
      <c r="R48" s="102">
        <v>44895</v>
      </c>
      <c r="S48" s="103">
        <v>45</v>
      </c>
      <c r="T48" s="103">
        <v>9</v>
      </c>
      <c r="U48" s="103">
        <v>3</v>
      </c>
      <c r="V48" s="103">
        <v>0</v>
      </c>
      <c r="W48" s="103">
        <v>0</v>
      </c>
      <c r="X48" s="104">
        <v>1</v>
      </c>
      <c r="Y48" s="104">
        <v>0</v>
      </c>
      <c r="Z48" s="104">
        <v>0</v>
      </c>
      <c r="AC48" s="103">
        <v>0</v>
      </c>
      <c r="AD48" s="103">
        <v>0</v>
      </c>
    </row>
    <row r="49" spans="1:30">
      <c r="A49" s="105" t="s">
        <v>1466</v>
      </c>
      <c r="B49" s="105" t="s">
        <v>1672</v>
      </c>
      <c r="C49" s="105" t="s">
        <v>1649</v>
      </c>
      <c r="D49" s="105" t="s">
        <v>1650</v>
      </c>
      <c r="E49" s="105" t="s">
        <v>1657</v>
      </c>
      <c r="F49" s="105" t="s">
        <v>1666</v>
      </c>
      <c r="G49" s="105" t="s">
        <v>1672</v>
      </c>
      <c r="M49" s="105" t="s">
        <v>1549</v>
      </c>
      <c r="N49" s="105" t="s">
        <v>1623</v>
      </c>
      <c r="O49" s="102">
        <v>44889</v>
      </c>
      <c r="P49" s="102">
        <v>44893</v>
      </c>
      <c r="Q49" s="102">
        <v>44866</v>
      </c>
      <c r="R49" s="102">
        <v>44895</v>
      </c>
      <c r="S49" s="103">
        <v>45</v>
      </c>
      <c r="T49" s="103">
        <v>9</v>
      </c>
      <c r="U49" s="103">
        <v>3</v>
      </c>
      <c r="V49" s="103">
        <v>0</v>
      </c>
      <c r="W49" s="103">
        <v>0</v>
      </c>
      <c r="X49" s="104">
        <v>1</v>
      </c>
      <c r="Y49" s="104">
        <v>0</v>
      </c>
      <c r="Z49" s="104">
        <v>0</v>
      </c>
      <c r="AC49" s="103">
        <v>0</v>
      </c>
      <c r="AD49" s="103">
        <v>0</v>
      </c>
    </row>
    <row r="50" spans="1:30">
      <c r="A50" s="105" t="s">
        <v>1466</v>
      </c>
      <c r="B50" s="105" t="s">
        <v>1674</v>
      </c>
      <c r="C50" s="105" t="s">
        <v>1649</v>
      </c>
      <c r="D50" s="105" t="s">
        <v>1650</v>
      </c>
      <c r="E50" s="105" t="s">
        <v>1657</v>
      </c>
      <c r="F50" s="105" t="s">
        <v>1673</v>
      </c>
      <c r="G50" s="105" t="s">
        <v>1674</v>
      </c>
      <c r="M50" s="105" t="s">
        <v>1551</v>
      </c>
      <c r="N50" s="105" t="s">
        <v>1623</v>
      </c>
      <c r="O50" s="102">
        <v>44894</v>
      </c>
      <c r="P50" s="102">
        <v>44900</v>
      </c>
      <c r="Q50" s="102">
        <v>44866</v>
      </c>
      <c r="R50" s="102">
        <v>44895</v>
      </c>
      <c r="S50" s="103">
        <v>45</v>
      </c>
      <c r="T50" s="103">
        <v>9</v>
      </c>
      <c r="U50" s="103">
        <v>2</v>
      </c>
      <c r="V50" s="103">
        <v>0</v>
      </c>
      <c r="W50" s="103">
        <v>0</v>
      </c>
      <c r="X50" s="104">
        <v>1</v>
      </c>
      <c r="Y50" s="104">
        <v>0</v>
      </c>
      <c r="Z50" s="104">
        <v>0</v>
      </c>
      <c r="AC50" s="103">
        <v>0</v>
      </c>
      <c r="AD50" s="103">
        <v>0</v>
      </c>
    </row>
    <row r="51" spans="1:30">
      <c r="A51" s="105" t="s">
        <v>1466</v>
      </c>
      <c r="B51" s="105" t="s">
        <v>1674</v>
      </c>
      <c r="C51" s="105" t="s">
        <v>1649</v>
      </c>
      <c r="D51" s="105" t="s">
        <v>1650</v>
      </c>
      <c r="E51" s="105" t="s">
        <v>1657</v>
      </c>
      <c r="F51" s="105" t="s">
        <v>1673</v>
      </c>
      <c r="G51" s="105" t="s">
        <v>1674</v>
      </c>
      <c r="M51" s="105" t="s">
        <v>1551</v>
      </c>
      <c r="N51" s="105" t="s">
        <v>1623</v>
      </c>
      <c r="O51" s="102">
        <v>44894</v>
      </c>
      <c r="P51" s="102">
        <v>44900</v>
      </c>
      <c r="Q51" s="102">
        <v>44896</v>
      </c>
      <c r="R51" s="102">
        <v>44926</v>
      </c>
      <c r="S51" s="103">
        <v>49</v>
      </c>
      <c r="T51" s="103">
        <v>13</v>
      </c>
      <c r="U51" s="103">
        <v>3</v>
      </c>
      <c r="V51" s="103">
        <v>0</v>
      </c>
      <c r="W51" s="103">
        <v>0</v>
      </c>
      <c r="X51" s="104">
        <v>1</v>
      </c>
      <c r="Y51" s="104">
        <v>0</v>
      </c>
      <c r="Z51" s="104">
        <v>0</v>
      </c>
      <c r="AC51" s="103">
        <v>0</v>
      </c>
      <c r="AD51" s="103">
        <v>0</v>
      </c>
    </row>
    <row r="52" spans="1:30">
      <c r="A52" s="105" t="s">
        <v>1466</v>
      </c>
      <c r="B52" s="105" t="s">
        <v>1675</v>
      </c>
      <c r="C52" s="105" t="s">
        <v>1649</v>
      </c>
      <c r="D52" s="105" t="s">
        <v>1650</v>
      </c>
      <c r="E52" s="105" t="s">
        <v>1657</v>
      </c>
      <c r="F52" s="105" t="s">
        <v>1673</v>
      </c>
      <c r="G52" s="105" t="s">
        <v>1675</v>
      </c>
      <c r="M52" s="105" t="s">
        <v>1552</v>
      </c>
      <c r="N52" s="105" t="s">
        <v>1623</v>
      </c>
      <c r="O52" s="102">
        <v>44901</v>
      </c>
      <c r="P52" s="102">
        <v>44907</v>
      </c>
      <c r="Q52" s="102">
        <v>44896</v>
      </c>
      <c r="R52" s="102">
        <v>44926</v>
      </c>
      <c r="S52" s="103">
        <v>49</v>
      </c>
      <c r="T52" s="103">
        <v>13</v>
      </c>
      <c r="U52" s="103">
        <v>5</v>
      </c>
      <c r="V52" s="103">
        <v>0</v>
      </c>
      <c r="W52" s="103">
        <v>0</v>
      </c>
      <c r="X52" s="104">
        <v>1</v>
      </c>
      <c r="Y52" s="104">
        <v>0</v>
      </c>
      <c r="Z52" s="104">
        <v>0</v>
      </c>
      <c r="AC52" s="103">
        <v>0</v>
      </c>
      <c r="AD52" s="103">
        <v>0</v>
      </c>
    </row>
    <row r="53" spans="1:30">
      <c r="A53" s="105" t="s">
        <v>1466</v>
      </c>
      <c r="B53" s="105" t="s">
        <v>1676</v>
      </c>
      <c r="C53" s="105" t="s">
        <v>1649</v>
      </c>
      <c r="D53" s="105" t="s">
        <v>1650</v>
      </c>
      <c r="E53" s="105" t="s">
        <v>1657</v>
      </c>
      <c r="F53" s="105" t="s">
        <v>1673</v>
      </c>
      <c r="G53" s="105" t="s">
        <v>1676</v>
      </c>
      <c r="M53" s="105" t="s">
        <v>1516</v>
      </c>
      <c r="N53" s="105" t="s">
        <v>1623</v>
      </c>
      <c r="O53" s="102">
        <v>44908</v>
      </c>
      <c r="P53" s="102">
        <v>44915</v>
      </c>
      <c r="Q53" s="102">
        <v>44896</v>
      </c>
      <c r="R53" s="102">
        <v>44926</v>
      </c>
      <c r="S53" s="103">
        <v>49</v>
      </c>
      <c r="T53" s="103">
        <v>13</v>
      </c>
      <c r="U53" s="103">
        <v>6</v>
      </c>
      <c r="V53" s="103">
        <v>0</v>
      </c>
      <c r="W53" s="103">
        <v>0</v>
      </c>
      <c r="X53" s="104">
        <v>1</v>
      </c>
      <c r="Y53" s="104">
        <v>0</v>
      </c>
      <c r="Z53" s="104">
        <v>0</v>
      </c>
      <c r="AC53" s="103">
        <v>0</v>
      </c>
      <c r="AD53" s="103">
        <v>0</v>
      </c>
    </row>
    <row r="54" spans="1:30">
      <c r="A54" s="105" t="s">
        <v>1466</v>
      </c>
      <c r="B54" s="105" t="s">
        <v>1677</v>
      </c>
      <c r="C54" s="105" t="s">
        <v>1649</v>
      </c>
      <c r="D54" s="105" t="s">
        <v>1650</v>
      </c>
      <c r="E54" s="105" t="s">
        <v>1657</v>
      </c>
      <c r="F54" s="105" t="s">
        <v>1673</v>
      </c>
      <c r="G54" s="105" t="s">
        <v>1677</v>
      </c>
      <c r="M54" s="105" t="s">
        <v>1517</v>
      </c>
      <c r="N54" s="105" t="s">
        <v>1623</v>
      </c>
      <c r="O54" s="102">
        <v>44916</v>
      </c>
      <c r="P54" s="102">
        <v>44924</v>
      </c>
      <c r="Q54" s="102">
        <v>44896</v>
      </c>
      <c r="R54" s="102">
        <v>44926</v>
      </c>
      <c r="S54" s="103">
        <v>49</v>
      </c>
      <c r="T54" s="103">
        <v>13</v>
      </c>
      <c r="U54" s="103">
        <v>7</v>
      </c>
      <c r="V54" s="103">
        <v>0</v>
      </c>
      <c r="W54" s="103">
        <v>0</v>
      </c>
      <c r="X54" s="104">
        <v>1</v>
      </c>
      <c r="Y54" s="104">
        <v>0</v>
      </c>
      <c r="Z54" s="104">
        <v>0</v>
      </c>
      <c r="AC54" s="103">
        <v>0</v>
      </c>
      <c r="AD54" s="103">
        <v>0</v>
      </c>
    </row>
    <row r="55" spans="1:30">
      <c r="A55" s="105" t="s">
        <v>1466</v>
      </c>
      <c r="B55" s="105" t="s">
        <v>1678</v>
      </c>
      <c r="C55" s="105" t="s">
        <v>1649</v>
      </c>
      <c r="D55" s="105" t="s">
        <v>1650</v>
      </c>
      <c r="E55" s="105" t="s">
        <v>1657</v>
      </c>
      <c r="F55" s="105" t="s">
        <v>1673</v>
      </c>
      <c r="G55" s="105" t="s">
        <v>1678</v>
      </c>
      <c r="M55" s="105" t="s">
        <v>1553</v>
      </c>
      <c r="N55" s="105" t="s">
        <v>1623</v>
      </c>
      <c r="O55" s="102">
        <v>44925</v>
      </c>
      <c r="P55" s="102">
        <v>44925</v>
      </c>
      <c r="Q55" s="102">
        <v>44896</v>
      </c>
      <c r="R55" s="102">
        <v>44926</v>
      </c>
      <c r="S55" s="103">
        <v>49</v>
      </c>
      <c r="T55" s="103">
        <v>13</v>
      </c>
      <c r="U55" s="103">
        <v>1</v>
      </c>
      <c r="V55" s="103">
        <v>0</v>
      </c>
      <c r="W55" s="103">
        <v>0</v>
      </c>
      <c r="X55" s="104">
        <v>1</v>
      </c>
      <c r="Y55" s="104">
        <v>0</v>
      </c>
      <c r="Z55" s="104">
        <v>0</v>
      </c>
      <c r="AC55" s="103">
        <v>0</v>
      </c>
      <c r="AD55" s="103">
        <v>0</v>
      </c>
    </row>
    <row r="56" spans="1:30">
      <c r="A56" s="105" t="s">
        <v>1465</v>
      </c>
      <c r="B56" s="105" t="s">
        <v>1680</v>
      </c>
      <c r="C56" s="105" t="s">
        <v>1649</v>
      </c>
      <c r="D56" s="105" t="s">
        <v>1650</v>
      </c>
      <c r="E56" s="105" t="s">
        <v>1657</v>
      </c>
      <c r="F56" s="105" t="s">
        <v>1673</v>
      </c>
      <c r="G56" s="105" t="s">
        <v>1679</v>
      </c>
      <c r="H56" s="105" t="s">
        <v>1680</v>
      </c>
      <c r="M56" s="105" t="s">
        <v>1555</v>
      </c>
      <c r="N56" s="105" t="s">
        <v>1773</v>
      </c>
      <c r="O56" s="102">
        <v>44907</v>
      </c>
      <c r="P56" s="102">
        <v>44908</v>
      </c>
      <c r="Q56" s="102">
        <v>44896</v>
      </c>
      <c r="R56" s="102">
        <v>44926</v>
      </c>
      <c r="S56" s="103">
        <v>49</v>
      </c>
      <c r="T56" s="103">
        <v>13</v>
      </c>
      <c r="U56" s="103">
        <v>2</v>
      </c>
      <c r="V56" s="103">
        <v>0</v>
      </c>
      <c r="W56" s="103">
        <v>0</v>
      </c>
      <c r="X56" s="104">
        <v>1</v>
      </c>
      <c r="Y56" s="104">
        <v>0</v>
      </c>
      <c r="Z56" s="104">
        <v>0</v>
      </c>
      <c r="AC56" s="103">
        <v>0</v>
      </c>
      <c r="AD56" s="103">
        <v>0</v>
      </c>
    </row>
    <row r="57" spans="1:30">
      <c r="A57" s="105" t="s">
        <v>1465</v>
      </c>
      <c r="B57" s="105" t="s">
        <v>1681</v>
      </c>
      <c r="C57" s="105" t="s">
        <v>1649</v>
      </c>
      <c r="D57" s="105" t="s">
        <v>1650</v>
      </c>
      <c r="E57" s="105" t="s">
        <v>1657</v>
      </c>
      <c r="F57" s="105" t="s">
        <v>1673</v>
      </c>
      <c r="G57" s="105" t="s">
        <v>1679</v>
      </c>
      <c r="H57" s="105" t="s">
        <v>1681</v>
      </c>
      <c r="M57" s="105" t="s">
        <v>1556</v>
      </c>
      <c r="N57" s="105" t="s">
        <v>1773</v>
      </c>
      <c r="O57" s="102">
        <v>44909</v>
      </c>
      <c r="P57" s="102">
        <v>44910</v>
      </c>
      <c r="Q57" s="102">
        <v>44896</v>
      </c>
      <c r="R57" s="102">
        <v>44926</v>
      </c>
      <c r="S57" s="103">
        <v>49</v>
      </c>
      <c r="T57" s="103">
        <v>13</v>
      </c>
      <c r="U57" s="103">
        <v>2</v>
      </c>
      <c r="V57" s="103">
        <v>0</v>
      </c>
      <c r="W57" s="103">
        <v>0</v>
      </c>
      <c r="X57" s="104">
        <v>1</v>
      </c>
      <c r="Y57" s="104">
        <v>0</v>
      </c>
      <c r="Z57" s="104">
        <v>0</v>
      </c>
      <c r="AC57" s="103">
        <v>0</v>
      </c>
      <c r="AD57" s="103">
        <v>0</v>
      </c>
    </row>
    <row r="58" spans="1:30">
      <c r="A58" s="105" t="s">
        <v>1465</v>
      </c>
      <c r="B58" s="105" t="s">
        <v>1682</v>
      </c>
      <c r="C58" s="105" t="s">
        <v>1649</v>
      </c>
      <c r="D58" s="105" t="s">
        <v>1650</v>
      </c>
      <c r="E58" s="105" t="s">
        <v>1657</v>
      </c>
      <c r="F58" s="105" t="s">
        <v>1673</v>
      </c>
      <c r="G58" s="105" t="s">
        <v>1679</v>
      </c>
      <c r="H58" s="105" t="s">
        <v>1682</v>
      </c>
      <c r="M58" s="105" t="s">
        <v>1557</v>
      </c>
      <c r="N58" s="105" t="s">
        <v>1773</v>
      </c>
      <c r="O58" s="102">
        <v>44911</v>
      </c>
      <c r="P58" s="102">
        <v>44914</v>
      </c>
      <c r="Q58" s="102">
        <v>44896</v>
      </c>
      <c r="R58" s="102">
        <v>44926</v>
      </c>
      <c r="S58" s="103">
        <v>49</v>
      </c>
      <c r="T58" s="103">
        <v>13</v>
      </c>
      <c r="U58" s="103">
        <v>2</v>
      </c>
      <c r="V58" s="103">
        <v>0</v>
      </c>
      <c r="W58" s="103">
        <v>0</v>
      </c>
      <c r="X58" s="104">
        <v>1</v>
      </c>
      <c r="Y58" s="104">
        <v>0</v>
      </c>
      <c r="Z58" s="104">
        <v>0</v>
      </c>
      <c r="AC58" s="103">
        <v>0</v>
      </c>
      <c r="AD58" s="103">
        <v>0</v>
      </c>
    </row>
    <row r="59" spans="1:30">
      <c r="A59" s="105" t="s">
        <v>1465</v>
      </c>
      <c r="B59" s="105" t="s">
        <v>1683</v>
      </c>
      <c r="C59" s="105" t="s">
        <v>1649</v>
      </c>
      <c r="D59" s="105" t="s">
        <v>1650</v>
      </c>
      <c r="E59" s="105" t="s">
        <v>1657</v>
      </c>
      <c r="F59" s="105" t="s">
        <v>1673</v>
      </c>
      <c r="G59" s="105" t="s">
        <v>1679</v>
      </c>
      <c r="H59" s="105" t="s">
        <v>1683</v>
      </c>
      <c r="M59" s="105" t="s">
        <v>1547</v>
      </c>
      <c r="N59" s="105" t="s">
        <v>1773</v>
      </c>
      <c r="O59" s="102">
        <v>44915</v>
      </c>
      <c r="P59" s="102">
        <v>44916</v>
      </c>
      <c r="Q59" s="102">
        <v>44896</v>
      </c>
      <c r="R59" s="102">
        <v>44926</v>
      </c>
      <c r="S59" s="103">
        <v>49</v>
      </c>
      <c r="T59" s="103">
        <v>13</v>
      </c>
      <c r="U59" s="103">
        <v>2</v>
      </c>
      <c r="V59" s="103">
        <v>0</v>
      </c>
      <c r="W59" s="103">
        <v>0</v>
      </c>
      <c r="X59" s="104">
        <v>1</v>
      </c>
      <c r="Y59" s="104">
        <v>0</v>
      </c>
      <c r="Z59" s="104">
        <v>0</v>
      </c>
      <c r="AC59" s="103">
        <v>0</v>
      </c>
      <c r="AD59" s="103">
        <v>0</v>
      </c>
    </row>
    <row r="60" spans="1:30">
      <c r="A60" s="105" t="s">
        <v>1465</v>
      </c>
      <c r="B60" s="105" t="s">
        <v>1684</v>
      </c>
      <c r="C60" s="105" t="s">
        <v>1649</v>
      </c>
      <c r="D60" s="105" t="s">
        <v>1650</v>
      </c>
      <c r="E60" s="105" t="s">
        <v>1657</v>
      </c>
      <c r="F60" s="105" t="s">
        <v>1673</v>
      </c>
      <c r="G60" s="105" t="s">
        <v>1679</v>
      </c>
      <c r="H60" s="105" t="s">
        <v>1684</v>
      </c>
      <c r="M60" s="105" t="s">
        <v>1558</v>
      </c>
      <c r="N60" s="105" t="s">
        <v>1773</v>
      </c>
      <c r="O60" s="102">
        <v>44917</v>
      </c>
      <c r="P60" s="102">
        <v>44918</v>
      </c>
      <c r="Q60" s="102">
        <v>44896</v>
      </c>
      <c r="R60" s="102">
        <v>44926</v>
      </c>
      <c r="S60" s="103">
        <v>49</v>
      </c>
      <c r="T60" s="103">
        <v>13</v>
      </c>
      <c r="U60" s="103">
        <v>2</v>
      </c>
      <c r="V60" s="103">
        <v>0</v>
      </c>
      <c r="W60" s="103">
        <v>0</v>
      </c>
      <c r="X60" s="104">
        <v>1</v>
      </c>
      <c r="Y60" s="104">
        <v>0</v>
      </c>
      <c r="Z60" s="104">
        <v>0</v>
      </c>
      <c r="AC60" s="103">
        <v>0</v>
      </c>
      <c r="AD60" s="103">
        <v>0</v>
      </c>
    </row>
    <row r="61" spans="1:30">
      <c r="A61" s="105" t="s">
        <v>1465</v>
      </c>
      <c r="B61" s="105" t="s">
        <v>1685</v>
      </c>
      <c r="C61" s="105" t="s">
        <v>1649</v>
      </c>
      <c r="D61" s="105" t="s">
        <v>1650</v>
      </c>
      <c r="E61" s="105" t="s">
        <v>1657</v>
      </c>
      <c r="F61" s="105" t="s">
        <v>1673</v>
      </c>
      <c r="G61" s="105" t="s">
        <v>1679</v>
      </c>
      <c r="H61" s="105" t="s">
        <v>1685</v>
      </c>
      <c r="M61" s="105" t="s">
        <v>1559</v>
      </c>
      <c r="N61" s="105" t="s">
        <v>1773</v>
      </c>
      <c r="O61" s="102">
        <v>44922</v>
      </c>
      <c r="P61" s="102">
        <v>44923</v>
      </c>
      <c r="Q61" s="102">
        <v>44896</v>
      </c>
      <c r="R61" s="102">
        <v>44926</v>
      </c>
      <c r="S61" s="103">
        <v>49</v>
      </c>
      <c r="T61" s="103">
        <v>13</v>
      </c>
      <c r="U61" s="103">
        <v>2</v>
      </c>
      <c r="V61" s="103">
        <v>0</v>
      </c>
      <c r="W61" s="103">
        <v>0</v>
      </c>
      <c r="X61" s="104">
        <v>1</v>
      </c>
      <c r="Y61" s="104">
        <v>0</v>
      </c>
      <c r="Z61" s="104">
        <v>0</v>
      </c>
      <c r="AC61" s="103">
        <v>0</v>
      </c>
      <c r="AD61" s="103">
        <v>0</v>
      </c>
    </row>
    <row r="62" spans="1:30">
      <c r="A62" s="105" t="s">
        <v>1465</v>
      </c>
      <c r="B62" s="105" t="s">
        <v>1686</v>
      </c>
      <c r="C62" s="105" t="s">
        <v>1649</v>
      </c>
      <c r="D62" s="105" t="s">
        <v>1650</v>
      </c>
      <c r="E62" s="105" t="s">
        <v>1657</v>
      </c>
      <c r="F62" s="105" t="s">
        <v>1673</v>
      </c>
      <c r="G62" s="105" t="s">
        <v>1679</v>
      </c>
      <c r="H62" s="105" t="s">
        <v>1686</v>
      </c>
      <c r="M62" s="105" t="s">
        <v>1560</v>
      </c>
      <c r="N62" s="105" t="s">
        <v>1773</v>
      </c>
      <c r="O62" s="102">
        <v>44924</v>
      </c>
      <c r="P62" s="102">
        <v>44925</v>
      </c>
      <c r="Q62" s="102">
        <v>44896</v>
      </c>
      <c r="R62" s="102">
        <v>44926</v>
      </c>
      <c r="S62" s="103">
        <v>49</v>
      </c>
      <c r="T62" s="103">
        <v>13</v>
      </c>
      <c r="U62" s="103">
        <v>2</v>
      </c>
      <c r="V62" s="103">
        <v>0</v>
      </c>
      <c r="W62" s="103">
        <v>0</v>
      </c>
      <c r="X62" s="104">
        <v>1</v>
      </c>
      <c r="Y62" s="104">
        <v>0</v>
      </c>
      <c r="Z62" s="104">
        <v>0</v>
      </c>
      <c r="AC62" s="103">
        <v>0</v>
      </c>
      <c r="AD62" s="103">
        <v>0</v>
      </c>
    </row>
    <row r="63" spans="1:30">
      <c r="A63" s="105" t="s">
        <v>1466</v>
      </c>
      <c r="B63" s="105" t="s">
        <v>1688</v>
      </c>
      <c r="C63" s="105" t="s">
        <v>1649</v>
      </c>
      <c r="D63" s="105" t="s">
        <v>1650</v>
      </c>
      <c r="E63" s="105" t="s">
        <v>1657</v>
      </c>
      <c r="F63" s="105" t="s">
        <v>1687</v>
      </c>
      <c r="G63" s="105" t="s">
        <v>1688</v>
      </c>
      <c r="M63" s="105" t="s">
        <v>1561</v>
      </c>
      <c r="N63" s="105" t="s">
        <v>1773</v>
      </c>
      <c r="O63" s="102">
        <v>44840</v>
      </c>
      <c r="P63" s="102">
        <v>44840</v>
      </c>
      <c r="Q63" s="102">
        <v>44835</v>
      </c>
      <c r="R63" s="102">
        <v>44865</v>
      </c>
      <c r="S63" s="103">
        <v>40</v>
      </c>
      <c r="T63" s="103">
        <v>4</v>
      </c>
      <c r="U63" s="103">
        <v>1</v>
      </c>
      <c r="V63" s="103">
        <v>1</v>
      </c>
      <c r="W63" s="103">
        <v>0</v>
      </c>
      <c r="X63" s="104">
        <v>1</v>
      </c>
      <c r="Y63" s="104">
        <v>1</v>
      </c>
      <c r="Z63" s="104">
        <v>0</v>
      </c>
      <c r="AC63" s="103">
        <v>0</v>
      </c>
      <c r="AD63" s="103">
        <v>0</v>
      </c>
    </row>
    <row r="64" spans="1:30">
      <c r="A64" s="105" t="s">
        <v>1466</v>
      </c>
      <c r="B64" s="105" t="s">
        <v>1689</v>
      </c>
      <c r="C64" s="105" t="s">
        <v>1649</v>
      </c>
      <c r="D64" s="105" t="s">
        <v>1650</v>
      </c>
      <c r="E64" s="105" t="s">
        <v>1657</v>
      </c>
      <c r="F64" s="105" t="s">
        <v>1687</v>
      </c>
      <c r="G64" s="105" t="s">
        <v>1689</v>
      </c>
      <c r="M64" s="105" t="s">
        <v>1562</v>
      </c>
      <c r="N64" s="105" t="s">
        <v>1773</v>
      </c>
      <c r="O64" s="102">
        <v>44841</v>
      </c>
      <c r="P64" s="102">
        <v>44841</v>
      </c>
      <c r="Q64" s="102">
        <v>44835</v>
      </c>
      <c r="R64" s="102">
        <v>44865</v>
      </c>
      <c r="S64" s="103">
        <v>40</v>
      </c>
      <c r="T64" s="103">
        <v>4</v>
      </c>
      <c r="U64" s="103">
        <v>1</v>
      </c>
      <c r="V64" s="103">
        <v>1</v>
      </c>
      <c r="W64" s="103">
        <v>0</v>
      </c>
      <c r="X64" s="104">
        <v>1</v>
      </c>
      <c r="Y64" s="104">
        <v>1</v>
      </c>
      <c r="Z64" s="104">
        <v>0</v>
      </c>
      <c r="AC64" s="103">
        <v>0</v>
      </c>
      <c r="AD64" s="103">
        <v>0</v>
      </c>
    </row>
    <row r="65" spans="1:30">
      <c r="A65" s="105" t="s">
        <v>1465</v>
      </c>
      <c r="B65" s="105" t="s">
        <v>1691</v>
      </c>
      <c r="C65" s="105" t="s">
        <v>1649</v>
      </c>
      <c r="D65" s="105" t="s">
        <v>1650</v>
      </c>
      <c r="E65" s="105" t="s">
        <v>1657</v>
      </c>
      <c r="F65" s="105" t="s">
        <v>1687</v>
      </c>
      <c r="G65" s="105" t="s">
        <v>1690</v>
      </c>
      <c r="H65" s="105" t="s">
        <v>1691</v>
      </c>
      <c r="M65" s="105" t="s">
        <v>1564</v>
      </c>
      <c r="N65" s="105" t="s">
        <v>1773</v>
      </c>
      <c r="O65" s="102">
        <v>44845</v>
      </c>
      <c r="P65" s="102">
        <v>44851</v>
      </c>
      <c r="Q65" s="102">
        <v>44835</v>
      </c>
      <c r="R65" s="102">
        <v>44865</v>
      </c>
      <c r="S65" s="103">
        <v>40</v>
      </c>
      <c r="T65" s="103">
        <v>4</v>
      </c>
      <c r="U65" s="103">
        <v>5</v>
      </c>
      <c r="V65" s="103">
        <v>4</v>
      </c>
      <c r="W65" s="103">
        <v>0</v>
      </c>
      <c r="X65" s="104">
        <v>1</v>
      </c>
      <c r="Y65" s="104">
        <v>0.8</v>
      </c>
      <c r="Z65" s="104">
        <v>0</v>
      </c>
      <c r="AC65" s="103">
        <v>0</v>
      </c>
      <c r="AD65" s="103">
        <v>0</v>
      </c>
    </row>
    <row r="66" spans="1:30">
      <c r="A66" s="105" t="s">
        <v>1465</v>
      </c>
      <c r="B66" s="105" t="s">
        <v>1692</v>
      </c>
      <c r="C66" s="105" t="s">
        <v>1649</v>
      </c>
      <c r="D66" s="105" t="s">
        <v>1650</v>
      </c>
      <c r="E66" s="105" t="s">
        <v>1657</v>
      </c>
      <c r="F66" s="105" t="s">
        <v>1687</v>
      </c>
      <c r="G66" s="105" t="s">
        <v>1690</v>
      </c>
      <c r="H66" s="105" t="s">
        <v>1692</v>
      </c>
      <c r="M66" s="105" t="s">
        <v>1565</v>
      </c>
      <c r="N66" s="105" t="s">
        <v>1773</v>
      </c>
      <c r="O66" s="102">
        <v>44852</v>
      </c>
      <c r="P66" s="102">
        <v>44854</v>
      </c>
      <c r="Q66" s="102">
        <v>44835</v>
      </c>
      <c r="R66" s="102">
        <v>44865</v>
      </c>
      <c r="S66" s="103">
        <v>40</v>
      </c>
      <c r="T66" s="103">
        <v>4</v>
      </c>
      <c r="U66" s="103">
        <v>3</v>
      </c>
      <c r="V66" s="103">
        <v>0</v>
      </c>
      <c r="W66" s="103">
        <v>0</v>
      </c>
      <c r="X66" s="104">
        <v>1</v>
      </c>
      <c r="Y66" s="104">
        <v>0</v>
      </c>
      <c r="Z66" s="104">
        <v>0</v>
      </c>
      <c r="AC66" s="103">
        <v>0</v>
      </c>
      <c r="AD66" s="103">
        <v>0</v>
      </c>
    </row>
    <row r="67" spans="1:30">
      <c r="A67" s="105" t="s">
        <v>1465</v>
      </c>
      <c r="B67" s="105" t="s">
        <v>1693</v>
      </c>
      <c r="C67" s="105" t="s">
        <v>1649</v>
      </c>
      <c r="D67" s="105" t="s">
        <v>1650</v>
      </c>
      <c r="E67" s="105" t="s">
        <v>1657</v>
      </c>
      <c r="F67" s="105" t="s">
        <v>1687</v>
      </c>
      <c r="G67" s="105" t="s">
        <v>1690</v>
      </c>
      <c r="H67" s="105" t="s">
        <v>1693</v>
      </c>
      <c r="M67" s="105" t="s">
        <v>1566</v>
      </c>
      <c r="N67" s="105" t="s">
        <v>1773</v>
      </c>
      <c r="O67" s="102">
        <v>44855</v>
      </c>
      <c r="P67" s="102">
        <v>44858</v>
      </c>
      <c r="Q67" s="102">
        <v>44835</v>
      </c>
      <c r="R67" s="102">
        <v>44865</v>
      </c>
      <c r="S67" s="103">
        <v>40</v>
      </c>
      <c r="T67" s="103">
        <v>4</v>
      </c>
      <c r="U67" s="103">
        <v>2</v>
      </c>
      <c r="V67" s="103">
        <v>0</v>
      </c>
      <c r="W67" s="103">
        <v>0</v>
      </c>
      <c r="X67" s="104">
        <v>1</v>
      </c>
      <c r="Y67" s="104">
        <v>0</v>
      </c>
      <c r="Z67" s="104">
        <v>0</v>
      </c>
      <c r="AC67" s="103">
        <v>0</v>
      </c>
      <c r="AD67" s="103">
        <v>0</v>
      </c>
    </row>
    <row r="68" spans="1:30">
      <c r="A68" s="105" t="s">
        <v>1465</v>
      </c>
      <c r="B68" s="105" t="s">
        <v>1694</v>
      </c>
      <c r="C68" s="105" t="s">
        <v>1649</v>
      </c>
      <c r="D68" s="105" t="s">
        <v>1650</v>
      </c>
      <c r="E68" s="105" t="s">
        <v>1657</v>
      </c>
      <c r="F68" s="105" t="s">
        <v>1687</v>
      </c>
      <c r="G68" s="105" t="s">
        <v>1690</v>
      </c>
      <c r="H68" s="105" t="s">
        <v>1694</v>
      </c>
      <c r="M68" s="105" t="s">
        <v>1512</v>
      </c>
      <c r="N68" s="105" t="s">
        <v>1773</v>
      </c>
      <c r="O68" s="102">
        <v>44859</v>
      </c>
      <c r="P68" s="102">
        <v>44860</v>
      </c>
      <c r="Q68" s="102">
        <v>44835</v>
      </c>
      <c r="R68" s="102">
        <v>44865</v>
      </c>
      <c r="S68" s="103">
        <v>40</v>
      </c>
      <c r="T68" s="103">
        <v>4</v>
      </c>
      <c r="U68" s="103">
        <v>2</v>
      </c>
      <c r="V68" s="103">
        <v>0</v>
      </c>
      <c r="W68" s="103">
        <v>0</v>
      </c>
      <c r="X68" s="104">
        <v>1</v>
      </c>
      <c r="Y68" s="104">
        <v>0</v>
      </c>
      <c r="Z68" s="104">
        <v>0</v>
      </c>
      <c r="AC68" s="103">
        <v>0</v>
      </c>
      <c r="AD68" s="103">
        <v>0</v>
      </c>
    </row>
    <row r="69" spans="1:30">
      <c r="A69" s="105" t="s">
        <v>1465</v>
      </c>
      <c r="B69" s="105" t="s">
        <v>1695</v>
      </c>
      <c r="C69" s="105" t="s">
        <v>1649</v>
      </c>
      <c r="D69" s="105" t="s">
        <v>1650</v>
      </c>
      <c r="E69" s="105" t="s">
        <v>1657</v>
      </c>
      <c r="F69" s="105" t="s">
        <v>1687</v>
      </c>
      <c r="G69" s="105" t="s">
        <v>1690</v>
      </c>
      <c r="H69" s="105" t="s">
        <v>1695</v>
      </c>
      <c r="M69" s="105" t="s">
        <v>1567</v>
      </c>
      <c r="N69" s="105" t="s">
        <v>1773</v>
      </c>
      <c r="O69" s="102">
        <v>44861</v>
      </c>
      <c r="P69" s="102">
        <v>44862</v>
      </c>
      <c r="Q69" s="102">
        <v>44835</v>
      </c>
      <c r="R69" s="102">
        <v>44865</v>
      </c>
      <c r="S69" s="103">
        <v>40</v>
      </c>
      <c r="T69" s="103">
        <v>4</v>
      </c>
      <c r="U69" s="103">
        <v>2</v>
      </c>
      <c r="V69" s="103">
        <v>0</v>
      </c>
      <c r="W69" s="103">
        <v>0</v>
      </c>
      <c r="X69" s="104">
        <v>1</v>
      </c>
      <c r="Y69" s="104">
        <v>0</v>
      </c>
      <c r="Z69" s="104">
        <v>0</v>
      </c>
      <c r="AC69" s="103">
        <v>0</v>
      </c>
      <c r="AD69" s="103">
        <v>0</v>
      </c>
    </row>
    <row r="70" spans="1:30">
      <c r="A70" s="105" t="s">
        <v>1465</v>
      </c>
      <c r="B70" s="105" t="s">
        <v>1696</v>
      </c>
      <c r="C70" s="105" t="s">
        <v>1649</v>
      </c>
      <c r="D70" s="105" t="s">
        <v>1650</v>
      </c>
      <c r="E70" s="105" t="s">
        <v>1657</v>
      </c>
      <c r="F70" s="105" t="s">
        <v>1687</v>
      </c>
      <c r="G70" s="105" t="s">
        <v>1690</v>
      </c>
      <c r="H70" s="105" t="s">
        <v>1696</v>
      </c>
      <c r="M70" s="105" t="s">
        <v>1568</v>
      </c>
      <c r="N70" s="105" t="s">
        <v>1773</v>
      </c>
      <c r="O70" s="102">
        <v>44865</v>
      </c>
      <c r="P70" s="102">
        <v>44866</v>
      </c>
      <c r="Q70" s="102">
        <v>44835</v>
      </c>
      <c r="R70" s="102">
        <v>44865</v>
      </c>
      <c r="S70" s="103">
        <v>40</v>
      </c>
      <c r="T70" s="103">
        <v>4</v>
      </c>
      <c r="U70" s="103">
        <v>1</v>
      </c>
      <c r="V70" s="103">
        <v>0</v>
      </c>
      <c r="W70" s="103">
        <v>0</v>
      </c>
      <c r="X70" s="104">
        <v>1</v>
      </c>
      <c r="Y70" s="104">
        <v>0</v>
      </c>
      <c r="Z70" s="104">
        <v>0</v>
      </c>
      <c r="AC70" s="103">
        <v>0</v>
      </c>
      <c r="AD70" s="103">
        <v>0</v>
      </c>
    </row>
    <row r="71" spans="1:30">
      <c r="A71" s="105" t="s">
        <v>1465</v>
      </c>
      <c r="B71" s="105" t="s">
        <v>1696</v>
      </c>
      <c r="C71" s="105" t="s">
        <v>1649</v>
      </c>
      <c r="D71" s="105" t="s">
        <v>1650</v>
      </c>
      <c r="E71" s="105" t="s">
        <v>1657</v>
      </c>
      <c r="F71" s="105" t="s">
        <v>1687</v>
      </c>
      <c r="G71" s="105" t="s">
        <v>1690</v>
      </c>
      <c r="H71" s="105" t="s">
        <v>1696</v>
      </c>
      <c r="M71" s="105" t="s">
        <v>1568</v>
      </c>
      <c r="N71" s="105" t="s">
        <v>1773</v>
      </c>
      <c r="O71" s="102">
        <v>44865</v>
      </c>
      <c r="P71" s="102">
        <v>44866</v>
      </c>
      <c r="Q71" s="102">
        <v>44866</v>
      </c>
      <c r="R71" s="102">
        <v>44895</v>
      </c>
      <c r="S71" s="103">
        <v>45</v>
      </c>
      <c r="T71" s="103">
        <v>9</v>
      </c>
      <c r="U71" s="103">
        <v>1</v>
      </c>
      <c r="V71" s="103">
        <v>0</v>
      </c>
      <c r="W71" s="103">
        <v>0</v>
      </c>
      <c r="X71" s="104">
        <v>1</v>
      </c>
      <c r="Y71" s="104">
        <v>0</v>
      </c>
      <c r="Z71" s="104">
        <v>0</v>
      </c>
      <c r="AC71" s="103">
        <v>0</v>
      </c>
      <c r="AD71" s="103">
        <v>0</v>
      </c>
    </row>
    <row r="72" spans="1:30">
      <c r="A72" s="105" t="s">
        <v>1466</v>
      </c>
      <c r="B72" s="105" t="s">
        <v>1697</v>
      </c>
      <c r="C72" s="105" t="s">
        <v>1649</v>
      </c>
      <c r="D72" s="105" t="s">
        <v>1650</v>
      </c>
      <c r="E72" s="105" t="s">
        <v>1657</v>
      </c>
      <c r="F72" s="105" t="s">
        <v>1687</v>
      </c>
      <c r="G72" s="105" t="s">
        <v>1697</v>
      </c>
      <c r="M72" s="105" t="s">
        <v>1509</v>
      </c>
      <c r="N72" s="105" t="s">
        <v>1773</v>
      </c>
      <c r="O72" s="102">
        <v>44867</v>
      </c>
      <c r="P72" s="102">
        <v>44873</v>
      </c>
      <c r="Q72" s="102">
        <v>44866</v>
      </c>
      <c r="R72" s="102">
        <v>44895</v>
      </c>
      <c r="S72" s="103">
        <v>45</v>
      </c>
      <c r="T72" s="103">
        <v>9</v>
      </c>
      <c r="U72" s="103">
        <v>5</v>
      </c>
      <c r="V72" s="103">
        <v>0</v>
      </c>
      <c r="W72" s="103">
        <v>0</v>
      </c>
      <c r="X72" s="104">
        <v>1</v>
      </c>
      <c r="Y72" s="104">
        <v>0</v>
      </c>
      <c r="Z72" s="104">
        <v>0</v>
      </c>
      <c r="AC72" s="103">
        <v>0</v>
      </c>
      <c r="AD72" s="103">
        <v>0</v>
      </c>
    </row>
    <row r="73" spans="1:30">
      <c r="A73" s="105" t="s">
        <v>1465</v>
      </c>
      <c r="B73" s="105" t="s">
        <v>1700</v>
      </c>
      <c r="C73" s="105" t="s">
        <v>1649</v>
      </c>
      <c r="D73" s="105" t="s">
        <v>1650</v>
      </c>
      <c r="E73" s="105" t="s">
        <v>1657</v>
      </c>
      <c r="F73" s="105" t="s">
        <v>1698</v>
      </c>
      <c r="G73" s="105" t="s">
        <v>1699</v>
      </c>
      <c r="H73" s="105" t="s">
        <v>1700</v>
      </c>
      <c r="M73" s="105" t="s">
        <v>1561</v>
      </c>
      <c r="N73" s="105" t="s">
        <v>1775</v>
      </c>
      <c r="O73" s="102">
        <v>44840</v>
      </c>
      <c r="P73" s="102">
        <v>44841</v>
      </c>
      <c r="Q73" s="102">
        <v>44835</v>
      </c>
      <c r="R73" s="102">
        <v>44865</v>
      </c>
      <c r="S73" s="103">
        <v>40</v>
      </c>
      <c r="T73" s="103">
        <v>4</v>
      </c>
      <c r="U73" s="103">
        <v>2</v>
      </c>
      <c r="V73" s="103">
        <v>2</v>
      </c>
      <c r="W73" s="103">
        <v>0</v>
      </c>
      <c r="X73" s="104">
        <v>1</v>
      </c>
      <c r="Y73" s="104">
        <v>1</v>
      </c>
      <c r="Z73" s="104">
        <v>0</v>
      </c>
      <c r="AC73" s="103">
        <v>0</v>
      </c>
      <c r="AD73" s="103">
        <v>0</v>
      </c>
    </row>
    <row r="74" spans="1:30">
      <c r="A74" s="105" t="s">
        <v>1465</v>
      </c>
      <c r="B74" s="105" t="s">
        <v>1701</v>
      </c>
      <c r="C74" s="105" t="s">
        <v>1649</v>
      </c>
      <c r="D74" s="105" t="s">
        <v>1650</v>
      </c>
      <c r="E74" s="105" t="s">
        <v>1657</v>
      </c>
      <c r="F74" s="105" t="s">
        <v>1698</v>
      </c>
      <c r="G74" s="105" t="s">
        <v>1699</v>
      </c>
      <c r="H74" s="105" t="s">
        <v>1701</v>
      </c>
      <c r="M74" s="105" t="s">
        <v>1562</v>
      </c>
      <c r="N74" s="105" t="s">
        <v>1775</v>
      </c>
      <c r="O74" s="102">
        <v>44845</v>
      </c>
      <c r="P74" s="102">
        <v>44845</v>
      </c>
      <c r="Q74" s="102">
        <v>44835</v>
      </c>
      <c r="R74" s="102">
        <v>44865</v>
      </c>
      <c r="S74" s="103">
        <v>40</v>
      </c>
      <c r="T74" s="103">
        <v>4</v>
      </c>
      <c r="U74" s="103">
        <v>1</v>
      </c>
      <c r="V74" s="103">
        <v>1</v>
      </c>
      <c r="W74" s="103">
        <v>0</v>
      </c>
      <c r="X74" s="104">
        <v>1</v>
      </c>
      <c r="Y74" s="104">
        <v>1</v>
      </c>
      <c r="Z74" s="104">
        <v>0</v>
      </c>
      <c r="AC74" s="103">
        <v>0</v>
      </c>
      <c r="AD74" s="103">
        <v>0</v>
      </c>
    </row>
    <row r="75" spans="1:30">
      <c r="A75" s="105" t="s">
        <v>1649</v>
      </c>
      <c r="B75" s="105" t="s">
        <v>1703</v>
      </c>
      <c r="C75" s="105" t="s">
        <v>1649</v>
      </c>
      <c r="D75" s="105" t="s">
        <v>1650</v>
      </c>
      <c r="E75" s="105" t="s">
        <v>1657</v>
      </c>
      <c r="F75" s="105" t="s">
        <v>1698</v>
      </c>
      <c r="G75" s="105" t="s">
        <v>1699</v>
      </c>
      <c r="H75" s="105" t="s">
        <v>1702</v>
      </c>
      <c r="I75" s="105" t="s">
        <v>1703</v>
      </c>
      <c r="M75" s="105" t="s">
        <v>1564</v>
      </c>
      <c r="N75" s="105" t="s">
        <v>1775</v>
      </c>
      <c r="O75" s="102">
        <v>44846</v>
      </c>
      <c r="P75" s="102">
        <v>44852</v>
      </c>
      <c r="Q75" s="102">
        <v>44835</v>
      </c>
      <c r="R75" s="102">
        <v>44865</v>
      </c>
      <c r="S75" s="103">
        <v>40</v>
      </c>
      <c r="T75" s="103">
        <v>4</v>
      </c>
      <c r="U75" s="103">
        <v>5</v>
      </c>
      <c r="V75" s="103">
        <v>3</v>
      </c>
      <c r="W75" s="103">
        <v>0</v>
      </c>
      <c r="X75" s="104">
        <v>1</v>
      </c>
      <c r="Y75" s="104">
        <v>0.6</v>
      </c>
      <c r="Z75" s="104">
        <v>0</v>
      </c>
      <c r="AC75" s="103">
        <v>0</v>
      </c>
      <c r="AD75" s="103">
        <v>0</v>
      </c>
    </row>
    <row r="76" spans="1:30">
      <c r="A76" s="105" t="s">
        <v>1649</v>
      </c>
      <c r="B76" s="105" t="s">
        <v>1704</v>
      </c>
      <c r="C76" s="105" t="s">
        <v>1649</v>
      </c>
      <c r="D76" s="105" t="s">
        <v>1650</v>
      </c>
      <c r="E76" s="105" t="s">
        <v>1657</v>
      </c>
      <c r="F76" s="105" t="s">
        <v>1698</v>
      </c>
      <c r="G76" s="105" t="s">
        <v>1699</v>
      </c>
      <c r="H76" s="105" t="s">
        <v>1702</v>
      </c>
      <c r="I76" s="105" t="s">
        <v>1704</v>
      </c>
      <c r="M76" s="105" t="s">
        <v>1570</v>
      </c>
      <c r="N76" s="105" t="s">
        <v>1775</v>
      </c>
      <c r="O76" s="102">
        <v>44853</v>
      </c>
      <c r="P76" s="102">
        <v>44854</v>
      </c>
      <c r="Q76" s="102">
        <v>44835</v>
      </c>
      <c r="R76" s="102">
        <v>44865</v>
      </c>
      <c r="S76" s="103">
        <v>40</v>
      </c>
      <c r="T76" s="103">
        <v>4</v>
      </c>
      <c r="U76" s="103">
        <v>2</v>
      </c>
      <c r="V76" s="103">
        <v>0</v>
      </c>
      <c r="W76" s="103">
        <v>0</v>
      </c>
      <c r="X76" s="104">
        <v>1</v>
      </c>
      <c r="Y76" s="104">
        <v>0</v>
      </c>
      <c r="Z76" s="104">
        <v>0</v>
      </c>
      <c r="AC76" s="103">
        <v>0</v>
      </c>
      <c r="AD76" s="103">
        <v>0</v>
      </c>
    </row>
    <row r="77" spans="1:30">
      <c r="A77" s="105" t="s">
        <v>1649</v>
      </c>
      <c r="B77" s="105" t="s">
        <v>1705</v>
      </c>
      <c r="C77" s="105" t="s">
        <v>1649</v>
      </c>
      <c r="D77" s="105" t="s">
        <v>1650</v>
      </c>
      <c r="E77" s="105" t="s">
        <v>1657</v>
      </c>
      <c r="F77" s="105" t="s">
        <v>1698</v>
      </c>
      <c r="G77" s="105" t="s">
        <v>1699</v>
      </c>
      <c r="H77" s="105" t="s">
        <v>1702</v>
      </c>
      <c r="I77" s="105" t="s">
        <v>1705</v>
      </c>
      <c r="M77" s="105" t="s">
        <v>1565</v>
      </c>
      <c r="N77" s="105" t="s">
        <v>1775</v>
      </c>
      <c r="O77" s="102">
        <v>44855</v>
      </c>
      <c r="P77" s="102">
        <v>44858</v>
      </c>
      <c r="Q77" s="102">
        <v>44835</v>
      </c>
      <c r="R77" s="102">
        <v>44865</v>
      </c>
      <c r="S77" s="103">
        <v>40</v>
      </c>
      <c r="T77" s="103">
        <v>4</v>
      </c>
      <c r="U77" s="103">
        <v>2</v>
      </c>
      <c r="V77" s="103">
        <v>0</v>
      </c>
      <c r="W77" s="103">
        <v>0</v>
      </c>
      <c r="X77" s="104">
        <v>1</v>
      </c>
      <c r="Y77" s="104">
        <v>0</v>
      </c>
      <c r="Z77" s="104">
        <v>0</v>
      </c>
      <c r="AC77" s="103">
        <v>0</v>
      </c>
      <c r="AD77" s="103">
        <v>0</v>
      </c>
    </row>
    <row r="78" spans="1:30">
      <c r="A78" s="105" t="s">
        <v>1649</v>
      </c>
      <c r="B78" s="105" t="s">
        <v>1706</v>
      </c>
      <c r="C78" s="105" t="s">
        <v>1649</v>
      </c>
      <c r="D78" s="105" t="s">
        <v>1650</v>
      </c>
      <c r="E78" s="105" t="s">
        <v>1657</v>
      </c>
      <c r="F78" s="105" t="s">
        <v>1698</v>
      </c>
      <c r="G78" s="105" t="s">
        <v>1699</v>
      </c>
      <c r="H78" s="105" t="s">
        <v>1702</v>
      </c>
      <c r="I78" s="105" t="s">
        <v>1706</v>
      </c>
      <c r="M78" s="105" t="s">
        <v>1566</v>
      </c>
      <c r="N78" s="105" t="s">
        <v>1775</v>
      </c>
      <c r="O78" s="102">
        <v>44859</v>
      </c>
      <c r="P78" s="102">
        <v>44860</v>
      </c>
      <c r="Q78" s="102">
        <v>44835</v>
      </c>
      <c r="R78" s="102">
        <v>44865</v>
      </c>
      <c r="S78" s="103">
        <v>40</v>
      </c>
      <c r="T78" s="103">
        <v>4</v>
      </c>
      <c r="U78" s="103">
        <v>2</v>
      </c>
      <c r="V78" s="103">
        <v>0</v>
      </c>
      <c r="W78" s="103">
        <v>0</v>
      </c>
      <c r="X78" s="104">
        <v>1</v>
      </c>
      <c r="Y78" s="104">
        <v>0</v>
      </c>
      <c r="Z78" s="104">
        <v>0</v>
      </c>
      <c r="AC78" s="103">
        <v>0</v>
      </c>
      <c r="AD78" s="103">
        <v>0</v>
      </c>
    </row>
    <row r="79" spans="1:30">
      <c r="A79" s="105" t="s">
        <v>1649</v>
      </c>
      <c r="B79" s="105" t="s">
        <v>1707</v>
      </c>
      <c r="C79" s="105" t="s">
        <v>1649</v>
      </c>
      <c r="D79" s="105" t="s">
        <v>1650</v>
      </c>
      <c r="E79" s="105" t="s">
        <v>1657</v>
      </c>
      <c r="F79" s="105" t="s">
        <v>1698</v>
      </c>
      <c r="G79" s="105" t="s">
        <v>1699</v>
      </c>
      <c r="H79" s="105" t="s">
        <v>1702</v>
      </c>
      <c r="I79" s="105" t="s">
        <v>1707</v>
      </c>
      <c r="M79" s="105" t="s">
        <v>1571</v>
      </c>
      <c r="N79" s="105" t="s">
        <v>1775</v>
      </c>
      <c r="O79" s="102">
        <v>44861</v>
      </c>
      <c r="P79" s="102">
        <v>44862</v>
      </c>
      <c r="Q79" s="102">
        <v>44835</v>
      </c>
      <c r="R79" s="102">
        <v>44865</v>
      </c>
      <c r="S79" s="103">
        <v>40</v>
      </c>
      <c r="T79" s="103">
        <v>4</v>
      </c>
      <c r="U79" s="103">
        <v>2</v>
      </c>
      <c r="V79" s="103">
        <v>0</v>
      </c>
      <c r="W79" s="103">
        <v>0</v>
      </c>
      <c r="X79" s="104">
        <v>1</v>
      </c>
      <c r="Y79" s="104">
        <v>0</v>
      </c>
      <c r="Z79" s="104">
        <v>0</v>
      </c>
      <c r="AC79" s="103">
        <v>0</v>
      </c>
      <c r="AD79" s="103">
        <v>0</v>
      </c>
    </row>
    <row r="80" spans="1:30">
      <c r="A80" s="105" t="s">
        <v>1649</v>
      </c>
      <c r="B80" s="105" t="s">
        <v>1708</v>
      </c>
      <c r="C80" s="105" t="s">
        <v>1649</v>
      </c>
      <c r="D80" s="105" t="s">
        <v>1650</v>
      </c>
      <c r="E80" s="105" t="s">
        <v>1657</v>
      </c>
      <c r="F80" s="105" t="s">
        <v>1698</v>
      </c>
      <c r="G80" s="105" t="s">
        <v>1699</v>
      </c>
      <c r="H80" s="105" t="s">
        <v>1702</v>
      </c>
      <c r="I80" s="105" t="s">
        <v>1708</v>
      </c>
      <c r="M80" s="105" t="s">
        <v>1572</v>
      </c>
      <c r="N80" s="105" t="s">
        <v>1775</v>
      </c>
      <c r="O80" s="102">
        <v>44865</v>
      </c>
      <c r="P80" s="102">
        <v>44866</v>
      </c>
      <c r="Q80" s="102">
        <v>44835</v>
      </c>
      <c r="R80" s="102">
        <v>44865</v>
      </c>
      <c r="S80" s="103">
        <v>40</v>
      </c>
      <c r="T80" s="103">
        <v>4</v>
      </c>
      <c r="U80" s="103">
        <v>1</v>
      </c>
      <c r="V80" s="103">
        <v>0</v>
      </c>
      <c r="W80" s="103">
        <v>0</v>
      </c>
      <c r="X80" s="104">
        <v>1</v>
      </c>
      <c r="Y80" s="104">
        <v>0</v>
      </c>
      <c r="Z80" s="104">
        <v>0</v>
      </c>
      <c r="AC80" s="103">
        <v>0</v>
      </c>
      <c r="AD80" s="103">
        <v>0</v>
      </c>
    </row>
    <row r="81" spans="1:30">
      <c r="A81" s="105" t="s">
        <v>1649</v>
      </c>
      <c r="B81" s="105" t="s">
        <v>1708</v>
      </c>
      <c r="C81" s="105" t="s">
        <v>1649</v>
      </c>
      <c r="D81" s="105" t="s">
        <v>1650</v>
      </c>
      <c r="E81" s="105" t="s">
        <v>1657</v>
      </c>
      <c r="F81" s="105" t="s">
        <v>1698</v>
      </c>
      <c r="G81" s="105" t="s">
        <v>1699</v>
      </c>
      <c r="H81" s="105" t="s">
        <v>1702</v>
      </c>
      <c r="I81" s="105" t="s">
        <v>1708</v>
      </c>
      <c r="M81" s="105" t="s">
        <v>1572</v>
      </c>
      <c r="N81" s="105" t="s">
        <v>1775</v>
      </c>
      <c r="O81" s="102">
        <v>44865</v>
      </c>
      <c r="P81" s="102">
        <v>44866</v>
      </c>
      <c r="Q81" s="102">
        <v>44866</v>
      </c>
      <c r="R81" s="102">
        <v>44895</v>
      </c>
      <c r="S81" s="103">
        <v>45</v>
      </c>
      <c r="T81" s="103">
        <v>9</v>
      </c>
      <c r="U81" s="103">
        <v>1</v>
      </c>
      <c r="V81" s="103">
        <v>0</v>
      </c>
      <c r="W81" s="103">
        <v>0</v>
      </c>
      <c r="X81" s="104">
        <v>1</v>
      </c>
      <c r="Y81" s="104">
        <v>0</v>
      </c>
      <c r="Z81" s="104">
        <v>0</v>
      </c>
      <c r="AC81" s="103">
        <v>0</v>
      </c>
      <c r="AD81" s="103">
        <v>0</v>
      </c>
    </row>
    <row r="82" spans="1:30">
      <c r="A82" s="105" t="s">
        <v>1649</v>
      </c>
      <c r="B82" s="105" t="s">
        <v>1709</v>
      </c>
      <c r="C82" s="105" t="s">
        <v>1649</v>
      </c>
      <c r="D82" s="105" t="s">
        <v>1650</v>
      </c>
      <c r="E82" s="105" t="s">
        <v>1657</v>
      </c>
      <c r="F82" s="105" t="s">
        <v>1698</v>
      </c>
      <c r="G82" s="105" t="s">
        <v>1699</v>
      </c>
      <c r="H82" s="105" t="s">
        <v>1702</v>
      </c>
      <c r="I82" s="105" t="s">
        <v>1709</v>
      </c>
      <c r="M82" s="105" t="s">
        <v>1573</v>
      </c>
      <c r="N82" s="105" t="s">
        <v>1775</v>
      </c>
      <c r="O82" s="102">
        <v>44867</v>
      </c>
      <c r="P82" s="102">
        <v>44868</v>
      </c>
      <c r="Q82" s="102">
        <v>44866</v>
      </c>
      <c r="R82" s="102">
        <v>44895</v>
      </c>
      <c r="S82" s="103">
        <v>45</v>
      </c>
      <c r="T82" s="103">
        <v>9</v>
      </c>
      <c r="U82" s="103">
        <v>2</v>
      </c>
      <c r="V82" s="103">
        <v>0</v>
      </c>
      <c r="W82" s="103">
        <v>0</v>
      </c>
      <c r="X82" s="104">
        <v>1</v>
      </c>
      <c r="Y82" s="104">
        <v>0</v>
      </c>
      <c r="Z82" s="104">
        <v>0</v>
      </c>
      <c r="AC82" s="103">
        <v>0</v>
      </c>
      <c r="AD82" s="103">
        <v>0</v>
      </c>
    </row>
    <row r="83" spans="1:30">
      <c r="A83" s="105" t="s">
        <v>1649</v>
      </c>
      <c r="B83" s="105" t="s">
        <v>1710</v>
      </c>
      <c r="C83" s="105" t="s">
        <v>1649</v>
      </c>
      <c r="D83" s="105" t="s">
        <v>1650</v>
      </c>
      <c r="E83" s="105" t="s">
        <v>1657</v>
      </c>
      <c r="F83" s="105" t="s">
        <v>1698</v>
      </c>
      <c r="G83" s="105" t="s">
        <v>1699</v>
      </c>
      <c r="H83" s="105" t="s">
        <v>1702</v>
      </c>
      <c r="I83" s="105" t="s">
        <v>1710</v>
      </c>
      <c r="M83" s="105" t="s">
        <v>1574</v>
      </c>
      <c r="N83" s="105" t="s">
        <v>1775</v>
      </c>
      <c r="O83" s="102">
        <v>44869</v>
      </c>
      <c r="P83" s="102">
        <v>44872</v>
      </c>
      <c r="Q83" s="102">
        <v>44866</v>
      </c>
      <c r="R83" s="102">
        <v>44895</v>
      </c>
      <c r="S83" s="103">
        <v>45</v>
      </c>
      <c r="T83" s="103">
        <v>9</v>
      </c>
      <c r="U83" s="103">
        <v>2</v>
      </c>
      <c r="V83" s="103">
        <v>0</v>
      </c>
      <c r="W83" s="103">
        <v>0</v>
      </c>
      <c r="X83" s="104">
        <v>1</v>
      </c>
      <c r="Y83" s="104">
        <v>0</v>
      </c>
      <c r="Z83" s="104">
        <v>0</v>
      </c>
      <c r="AC83" s="103">
        <v>0</v>
      </c>
      <c r="AD83" s="103">
        <v>0</v>
      </c>
    </row>
    <row r="84" spans="1:30">
      <c r="A84" s="105" t="s">
        <v>1649</v>
      </c>
      <c r="B84" s="105" t="s">
        <v>1711</v>
      </c>
      <c r="C84" s="105" t="s">
        <v>1649</v>
      </c>
      <c r="D84" s="105" t="s">
        <v>1650</v>
      </c>
      <c r="E84" s="105" t="s">
        <v>1657</v>
      </c>
      <c r="F84" s="105" t="s">
        <v>1698</v>
      </c>
      <c r="G84" s="105" t="s">
        <v>1699</v>
      </c>
      <c r="H84" s="105" t="s">
        <v>1702</v>
      </c>
      <c r="I84" s="105" t="s">
        <v>1711</v>
      </c>
      <c r="M84" s="105" t="s">
        <v>1575</v>
      </c>
      <c r="N84" s="105" t="s">
        <v>1775</v>
      </c>
      <c r="O84" s="102">
        <v>44873</v>
      </c>
      <c r="P84" s="102">
        <v>44874</v>
      </c>
      <c r="Q84" s="102">
        <v>44866</v>
      </c>
      <c r="R84" s="102">
        <v>44895</v>
      </c>
      <c r="S84" s="103">
        <v>45</v>
      </c>
      <c r="T84" s="103">
        <v>9</v>
      </c>
      <c r="U84" s="103">
        <v>2</v>
      </c>
      <c r="V84" s="103">
        <v>0</v>
      </c>
      <c r="W84" s="103">
        <v>0</v>
      </c>
      <c r="X84" s="104">
        <v>1</v>
      </c>
      <c r="Y84" s="104">
        <v>0</v>
      </c>
      <c r="Z84" s="104">
        <v>0</v>
      </c>
      <c r="AC84" s="103">
        <v>0</v>
      </c>
      <c r="AD84" s="103">
        <v>0</v>
      </c>
    </row>
    <row r="85" spans="1:30">
      <c r="A85" s="105" t="s">
        <v>1649</v>
      </c>
      <c r="B85" s="105" t="s">
        <v>1712</v>
      </c>
      <c r="C85" s="105" t="s">
        <v>1649</v>
      </c>
      <c r="D85" s="105" t="s">
        <v>1650</v>
      </c>
      <c r="E85" s="105" t="s">
        <v>1657</v>
      </c>
      <c r="F85" s="105" t="s">
        <v>1698</v>
      </c>
      <c r="G85" s="105" t="s">
        <v>1699</v>
      </c>
      <c r="H85" s="105" t="s">
        <v>1702</v>
      </c>
      <c r="I85" s="105" t="s">
        <v>1712</v>
      </c>
      <c r="M85" s="105" t="s">
        <v>1568</v>
      </c>
      <c r="N85" s="105" t="s">
        <v>1775</v>
      </c>
      <c r="O85" s="102">
        <v>44875</v>
      </c>
      <c r="P85" s="102">
        <v>44876</v>
      </c>
      <c r="Q85" s="102">
        <v>44866</v>
      </c>
      <c r="R85" s="102">
        <v>44895</v>
      </c>
      <c r="S85" s="103">
        <v>45</v>
      </c>
      <c r="T85" s="103">
        <v>9</v>
      </c>
      <c r="U85" s="103">
        <v>2</v>
      </c>
      <c r="V85" s="103">
        <v>0</v>
      </c>
      <c r="W85" s="103">
        <v>0</v>
      </c>
      <c r="X85" s="104">
        <v>1</v>
      </c>
      <c r="Y85" s="104">
        <v>0</v>
      </c>
      <c r="Z85" s="104">
        <v>0</v>
      </c>
      <c r="AC85" s="103">
        <v>0</v>
      </c>
      <c r="AD85" s="103">
        <v>0</v>
      </c>
    </row>
    <row r="86" spans="1:30">
      <c r="A86" s="105" t="s">
        <v>1465</v>
      </c>
      <c r="B86" s="105" t="s">
        <v>1713</v>
      </c>
      <c r="C86" s="105" t="s">
        <v>1649</v>
      </c>
      <c r="D86" s="105" t="s">
        <v>1650</v>
      </c>
      <c r="E86" s="105" t="s">
        <v>1657</v>
      </c>
      <c r="F86" s="105" t="s">
        <v>1698</v>
      </c>
      <c r="G86" s="105" t="s">
        <v>1699</v>
      </c>
      <c r="H86" s="105" t="s">
        <v>1713</v>
      </c>
      <c r="M86" s="105" t="s">
        <v>1576</v>
      </c>
      <c r="N86" s="105" t="s">
        <v>1775</v>
      </c>
      <c r="O86" s="102">
        <v>44879</v>
      </c>
      <c r="P86" s="102">
        <v>44897</v>
      </c>
      <c r="Q86" s="102">
        <v>44866</v>
      </c>
      <c r="R86" s="102">
        <v>44895</v>
      </c>
      <c r="S86" s="103">
        <v>45</v>
      </c>
      <c r="T86" s="103">
        <v>9</v>
      </c>
      <c r="U86" s="103">
        <v>13</v>
      </c>
      <c r="V86" s="103">
        <v>0</v>
      </c>
      <c r="W86" s="103">
        <v>0</v>
      </c>
      <c r="X86" s="104">
        <v>1</v>
      </c>
      <c r="Y86" s="104">
        <v>0</v>
      </c>
      <c r="Z86" s="104">
        <v>0</v>
      </c>
      <c r="AC86" s="103">
        <v>0</v>
      </c>
      <c r="AD86" s="103">
        <v>0</v>
      </c>
    </row>
    <row r="87" spans="1:30">
      <c r="A87" s="105" t="s">
        <v>1465</v>
      </c>
      <c r="B87" s="105" t="s">
        <v>1713</v>
      </c>
      <c r="C87" s="105" t="s">
        <v>1649</v>
      </c>
      <c r="D87" s="105" t="s">
        <v>1650</v>
      </c>
      <c r="E87" s="105" t="s">
        <v>1657</v>
      </c>
      <c r="F87" s="105" t="s">
        <v>1698</v>
      </c>
      <c r="G87" s="105" t="s">
        <v>1699</v>
      </c>
      <c r="H87" s="105" t="s">
        <v>1713</v>
      </c>
      <c r="M87" s="105" t="s">
        <v>1576</v>
      </c>
      <c r="N87" s="105" t="s">
        <v>1775</v>
      </c>
      <c r="O87" s="102">
        <v>44879</v>
      </c>
      <c r="P87" s="102">
        <v>44897</v>
      </c>
      <c r="Q87" s="102">
        <v>44896</v>
      </c>
      <c r="R87" s="102">
        <v>44926</v>
      </c>
      <c r="S87" s="103">
        <v>49</v>
      </c>
      <c r="T87" s="103">
        <v>13</v>
      </c>
      <c r="U87" s="103">
        <v>2</v>
      </c>
      <c r="V87" s="103">
        <v>0</v>
      </c>
      <c r="W87" s="103">
        <v>0</v>
      </c>
      <c r="X87" s="104">
        <v>1</v>
      </c>
      <c r="Y87" s="104">
        <v>0</v>
      </c>
      <c r="Z87" s="104">
        <v>0</v>
      </c>
      <c r="AC87" s="103">
        <v>0</v>
      </c>
      <c r="AD87" s="103">
        <v>0</v>
      </c>
    </row>
    <row r="88" spans="1:30">
      <c r="A88" s="105" t="s">
        <v>1465</v>
      </c>
      <c r="B88" s="105" t="s">
        <v>1715</v>
      </c>
      <c r="C88" s="105" t="s">
        <v>1649</v>
      </c>
      <c r="D88" s="105" t="s">
        <v>1650</v>
      </c>
      <c r="E88" s="105" t="s">
        <v>1657</v>
      </c>
      <c r="F88" s="105" t="s">
        <v>1698</v>
      </c>
      <c r="G88" s="105" t="s">
        <v>1714</v>
      </c>
      <c r="H88" s="105" t="s">
        <v>1715</v>
      </c>
      <c r="M88" s="105" t="s">
        <v>1577</v>
      </c>
      <c r="N88" s="105" t="s">
        <v>1775</v>
      </c>
      <c r="O88" s="102">
        <v>44900</v>
      </c>
      <c r="P88" s="102">
        <v>44901</v>
      </c>
      <c r="Q88" s="102">
        <v>44896</v>
      </c>
      <c r="R88" s="102">
        <v>44926</v>
      </c>
      <c r="S88" s="103">
        <v>49</v>
      </c>
      <c r="T88" s="103">
        <v>13</v>
      </c>
      <c r="U88" s="103">
        <v>2</v>
      </c>
      <c r="V88" s="103">
        <v>0</v>
      </c>
      <c r="W88" s="103">
        <v>0</v>
      </c>
      <c r="X88" s="104">
        <v>1</v>
      </c>
      <c r="Y88" s="104">
        <v>0</v>
      </c>
      <c r="Z88" s="104">
        <v>0</v>
      </c>
      <c r="AC88" s="103">
        <v>0</v>
      </c>
      <c r="AD88" s="103">
        <v>0</v>
      </c>
    </row>
    <row r="89" spans="1:30">
      <c r="A89" s="105" t="s">
        <v>1649</v>
      </c>
      <c r="B89" s="105" t="s">
        <v>1717</v>
      </c>
      <c r="C89" s="105" t="s">
        <v>1649</v>
      </c>
      <c r="D89" s="105" t="s">
        <v>1650</v>
      </c>
      <c r="E89" s="105" t="s">
        <v>1657</v>
      </c>
      <c r="F89" s="105" t="s">
        <v>1698</v>
      </c>
      <c r="G89" s="105" t="s">
        <v>1714</v>
      </c>
      <c r="H89" s="105" t="s">
        <v>1716</v>
      </c>
      <c r="I89" s="105" t="s">
        <v>1717</v>
      </c>
      <c r="M89" s="105" t="s">
        <v>1579</v>
      </c>
      <c r="N89" s="105" t="s">
        <v>1775</v>
      </c>
      <c r="O89" s="102">
        <v>44902</v>
      </c>
      <c r="P89" s="102">
        <v>44908</v>
      </c>
      <c r="Q89" s="102">
        <v>44896</v>
      </c>
      <c r="R89" s="102">
        <v>44926</v>
      </c>
      <c r="S89" s="103">
        <v>49</v>
      </c>
      <c r="T89" s="103">
        <v>13</v>
      </c>
      <c r="U89" s="103">
        <v>5</v>
      </c>
      <c r="V89" s="103">
        <v>0</v>
      </c>
      <c r="W89" s="103">
        <v>0</v>
      </c>
      <c r="X89" s="104">
        <v>1</v>
      </c>
      <c r="Y89" s="104">
        <v>0</v>
      </c>
      <c r="Z89" s="104">
        <v>0</v>
      </c>
      <c r="AC89" s="103">
        <v>0</v>
      </c>
      <c r="AD89" s="103">
        <v>0</v>
      </c>
    </row>
    <row r="90" spans="1:30">
      <c r="A90" s="105" t="s">
        <v>1760</v>
      </c>
      <c r="B90" s="105" t="s">
        <v>1719</v>
      </c>
      <c r="C90" s="105" t="s">
        <v>1649</v>
      </c>
      <c r="D90" s="105" t="s">
        <v>1650</v>
      </c>
      <c r="E90" s="105" t="s">
        <v>1657</v>
      </c>
      <c r="F90" s="105" t="s">
        <v>1698</v>
      </c>
      <c r="G90" s="105" t="s">
        <v>1714</v>
      </c>
      <c r="H90" s="105" t="s">
        <v>1716</v>
      </c>
      <c r="I90" s="105" t="s">
        <v>1718</v>
      </c>
      <c r="J90" s="105" t="s">
        <v>1719</v>
      </c>
      <c r="M90" s="105" t="s">
        <v>1581</v>
      </c>
      <c r="N90" s="105" t="s">
        <v>1775</v>
      </c>
      <c r="O90" s="102">
        <v>44909</v>
      </c>
      <c r="P90" s="102">
        <v>44910</v>
      </c>
      <c r="Q90" s="102">
        <v>44896</v>
      </c>
      <c r="R90" s="102">
        <v>44926</v>
      </c>
      <c r="S90" s="103">
        <v>49</v>
      </c>
      <c r="T90" s="103">
        <v>13</v>
      </c>
      <c r="U90" s="103">
        <v>2</v>
      </c>
      <c r="V90" s="103">
        <v>0</v>
      </c>
      <c r="W90" s="103">
        <v>0</v>
      </c>
      <c r="X90" s="104">
        <v>1</v>
      </c>
      <c r="Y90" s="104">
        <v>0</v>
      </c>
      <c r="Z90" s="104">
        <v>0</v>
      </c>
      <c r="AC90" s="103">
        <v>0</v>
      </c>
      <c r="AD90" s="103">
        <v>0</v>
      </c>
    </row>
    <row r="91" spans="1:30">
      <c r="A91" s="105" t="s">
        <v>1760</v>
      </c>
      <c r="B91" s="105" t="s">
        <v>1720</v>
      </c>
      <c r="C91" s="105" t="s">
        <v>1649</v>
      </c>
      <c r="D91" s="105" t="s">
        <v>1650</v>
      </c>
      <c r="E91" s="105" t="s">
        <v>1657</v>
      </c>
      <c r="F91" s="105" t="s">
        <v>1698</v>
      </c>
      <c r="G91" s="105" t="s">
        <v>1714</v>
      </c>
      <c r="H91" s="105" t="s">
        <v>1716</v>
      </c>
      <c r="I91" s="105" t="s">
        <v>1718</v>
      </c>
      <c r="J91" s="105" t="s">
        <v>1720</v>
      </c>
      <c r="M91" s="105" t="s">
        <v>1582</v>
      </c>
      <c r="N91" s="105" t="s">
        <v>1775</v>
      </c>
      <c r="O91" s="102">
        <v>44911</v>
      </c>
      <c r="P91" s="102">
        <v>44914</v>
      </c>
      <c r="Q91" s="102">
        <v>44896</v>
      </c>
      <c r="R91" s="102">
        <v>44926</v>
      </c>
      <c r="S91" s="103">
        <v>49</v>
      </c>
      <c r="T91" s="103">
        <v>13</v>
      </c>
      <c r="U91" s="103">
        <v>2</v>
      </c>
      <c r="V91" s="103">
        <v>0</v>
      </c>
      <c r="W91" s="103">
        <v>0</v>
      </c>
      <c r="X91" s="104">
        <v>1</v>
      </c>
      <c r="Y91" s="104">
        <v>0</v>
      </c>
      <c r="Z91" s="104">
        <v>0</v>
      </c>
      <c r="AC91" s="103">
        <v>0</v>
      </c>
      <c r="AD91" s="103">
        <v>0</v>
      </c>
    </row>
    <row r="92" spans="1:30">
      <c r="A92" s="105" t="s">
        <v>1760</v>
      </c>
      <c r="B92" s="105" t="s">
        <v>1721</v>
      </c>
      <c r="C92" s="105" t="s">
        <v>1649</v>
      </c>
      <c r="D92" s="105" t="s">
        <v>1650</v>
      </c>
      <c r="E92" s="105" t="s">
        <v>1657</v>
      </c>
      <c r="F92" s="105" t="s">
        <v>1698</v>
      </c>
      <c r="G92" s="105" t="s">
        <v>1714</v>
      </c>
      <c r="H92" s="105" t="s">
        <v>1716</v>
      </c>
      <c r="I92" s="105" t="s">
        <v>1718</v>
      </c>
      <c r="J92" s="105" t="s">
        <v>1721</v>
      </c>
      <c r="M92" s="105" t="s">
        <v>1583</v>
      </c>
      <c r="N92" s="105" t="s">
        <v>1775</v>
      </c>
      <c r="O92" s="102">
        <v>44915</v>
      </c>
      <c r="P92" s="102">
        <v>44916</v>
      </c>
      <c r="Q92" s="102">
        <v>44896</v>
      </c>
      <c r="R92" s="102">
        <v>44926</v>
      </c>
      <c r="S92" s="103">
        <v>49</v>
      </c>
      <c r="T92" s="103">
        <v>13</v>
      </c>
      <c r="U92" s="103">
        <v>2</v>
      </c>
      <c r="V92" s="103">
        <v>0</v>
      </c>
      <c r="W92" s="103">
        <v>0</v>
      </c>
      <c r="X92" s="104">
        <v>1</v>
      </c>
      <c r="Y92" s="104">
        <v>0</v>
      </c>
      <c r="Z92" s="104">
        <v>0</v>
      </c>
      <c r="AC92" s="103">
        <v>0</v>
      </c>
      <c r="AD92" s="103">
        <v>0</v>
      </c>
    </row>
    <row r="93" spans="1:30">
      <c r="A93" s="105" t="s">
        <v>1760</v>
      </c>
      <c r="B93" s="105" t="s">
        <v>1722</v>
      </c>
      <c r="C93" s="105" t="s">
        <v>1649</v>
      </c>
      <c r="D93" s="105" t="s">
        <v>1650</v>
      </c>
      <c r="E93" s="105" t="s">
        <v>1657</v>
      </c>
      <c r="F93" s="105" t="s">
        <v>1698</v>
      </c>
      <c r="G93" s="105" t="s">
        <v>1714</v>
      </c>
      <c r="H93" s="105" t="s">
        <v>1716</v>
      </c>
      <c r="I93" s="105" t="s">
        <v>1718</v>
      </c>
      <c r="J93" s="105" t="s">
        <v>1722</v>
      </c>
      <c r="M93" s="105" t="s">
        <v>1584</v>
      </c>
      <c r="N93" s="105" t="s">
        <v>1775</v>
      </c>
      <c r="O93" s="102">
        <v>44917</v>
      </c>
      <c r="P93" s="102">
        <v>44918</v>
      </c>
      <c r="Q93" s="102">
        <v>44896</v>
      </c>
      <c r="R93" s="102">
        <v>44926</v>
      </c>
      <c r="S93" s="103">
        <v>49</v>
      </c>
      <c r="T93" s="103">
        <v>13</v>
      </c>
      <c r="U93" s="103">
        <v>2</v>
      </c>
      <c r="V93" s="103">
        <v>0</v>
      </c>
      <c r="W93" s="103">
        <v>0</v>
      </c>
      <c r="X93" s="104">
        <v>1</v>
      </c>
      <c r="Y93" s="104">
        <v>0</v>
      </c>
      <c r="Z93" s="104">
        <v>0</v>
      </c>
      <c r="AC93" s="103">
        <v>0</v>
      </c>
      <c r="AD93" s="103">
        <v>0</v>
      </c>
    </row>
    <row r="94" spans="1:30">
      <c r="A94" s="105" t="s">
        <v>1760</v>
      </c>
      <c r="B94" s="105" t="s">
        <v>1723</v>
      </c>
      <c r="C94" s="105" t="s">
        <v>1649</v>
      </c>
      <c r="D94" s="105" t="s">
        <v>1650</v>
      </c>
      <c r="E94" s="105" t="s">
        <v>1657</v>
      </c>
      <c r="F94" s="105" t="s">
        <v>1698</v>
      </c>
      <c r="G94" s="105" t="s">
        <v>1714</v>
      </c>
      <c r="H94" s="105" t="s">
        <v>1716</v>
      </c>
      <c r="I94" s="105" t="s">
        <v>1718</v>
      </c>
      <c r="J94" s="105" t="s">
        <v>1723</v>
      </c>
      <c r="M94" s="105" t="s">
        <v>1585</v>
      </c>
      <c r="N94" s="105" t="s">
        <v>1775</v>
      </c>
      <c r="O94" s="102">
        <v>44922</v>
      </c>
      <c r="P94" s="102">
        <v>44923</v>
      </c>
      <c r="Q94" s="102">
        <v>44896</v>
      </c>
      <c r="R94" s="102">
        <v>44926</v>
      </c>
      <c r="S94" s="103">
        <v>49</v>
      </c>
      <c r="T94" s="103">
        <v>13</v>
      </c>
      <c r="U94" s="103">
        <v>2</v>
      </c>
      <c r="V94" s="103">
        <v>0</v>
      </c>
      <c r="W94" s="103">
        <v>0</v>
      </c>
      <c r="X94" s="104">
        <v>1</v>
      </c>
      <c r="Y94" s="104">
        <v>0</v>
      </c>
      <c r="Z94" s="104">
        <v>0</v>
      </c>
      <c r="AC94" s="103">
        <v>0</v>
      </c>
      <c r="AD94" s="103">
        <v>0</v>
      </c>
    </row>
    <row r="95" spans="1:30">
      <c r="A95" s="105" t="s">
        <v>1760</v>
      </c>
      <c r="B95" s="105" t="s">
        <v>1724</v>
      </c>
      <c r="C95" s="105" t="s">
        <v>1649</v>
      </c>
      <c r="D95" s="105" t="s">
        <v>1650</v>
      </c>
      <c r="E95" s="105" t="s">
        <v>1657</v>
      </c>
      <c r="F95" s="105" t="s">
        <v>1698</v>
      </c>
      <c r="G95" s="105" t="s">
        <v>1714</v>
      </c>
      <c r="H95" s="105" t="s">
        <v>1716</v>
      </c>
      <c r="I95" s="105" t="s">
        <v>1718</v>
      </c>
      <c r="J95" s="105" t="s">
        <v>1724</v>
      </c>
      <c r="M95" s="105" t="s">
        <v>1586</v>
      </c>
      <c r="N95" s="105" t="s">
        <v>1775</v>
      </c>
      <c r="O95" s="102">
        <v>44924</v>
      </c>
      <c r="P95" s="102">
        <v>44925</v>
      </c>
      <c r="Q95" s="102">
        <v>44896</v>
      </c>
      <c r="R95" s="102">
        <v>44926</v>
      </c>
      <c r="S95" s="103">
        <v>49</v>
      </c>
      <c r="T95" s="103">
        <v>13</v>
      </c>
      <c r="U95" s="103">
        <v>2</v>
      </c>
      <c r="V95" s="103">
        <v>0</v>
      </c>
      <c r="W95" s="103">
        <v>0</v>
      </c>
      <c r="X95" s="104">
        <v>1</v>
      </c>
      <c r="Y95" s="104">
        <v>0</v>
      </c>
      <c r="Z95" s="104">
        <v>0</v>
      </c>
      <c r="AC95" s="103">
        <v>0</v>
      </c>
      <c r="AD95" s="103">
        <v>0</v>
      </c>
    </row>
    <row r="96" spans="1:30">
      <c r="A96" s="105" t="s">
        <v>1466</v>
      </c>
      <c r="B96" s="105" t="s">
        <v>1726</v>
      </c>
      <c r="C96" s="105" t="s">
        <v>1649</v>
      </c>
      <c r="D96" s="105" t="s">
        <v>1650</v>
      </c>
      <c r="E96" s="105" t="s">
        <v>1657</v>
      </c>
      <c r="F96" s="105" t="s">
        <v>1725</v>
      </c>
      <c r="G96" s="105" t="s">
        <v>1726</v>
      </c>
      <c r="M96" s="105" t="s">
        <v>1562</v>
      </c>
      <c r="N96" s="105" t="s">
        <v>1773</v>
      </c>
      <c r="O96" s="102">
        <v>44890</v>
      </c>
      <c r="P96" s="102">
        <v>44890</v>
      </c>
      <c r="Q96" s="102">
        <v>44866</v>
      </c>
      <c r="R96" s="102">
        <v>44895</v>
      </c>
      <c r="S96" s="103">
        <v>45</v>
      </c>
      <c r="T96" s="103">
        <v>9</v>
      </c>
      <c r="U96" s="103">
        <v>1</v>
      </c>
      <c r="V96" s="103">
        <v>0</v>
      </c>
      <c r="W96" s="103">
        <v>0</v>
      </c>
      <c r="X96" s="104">
        <v>1</v>
      </c>
      <c r="Y96" s="104">
        <v>0</v>
      </c>
      <c r="Z96" s="104">
        <v>0</v>
      </c>
      <c r="AC96" s="103">
        <v>0</v>
      </c>
      <c r="AD96" s="103">
        <v>0</v>
      </c>
    </row>
    <row r="97" spans="1:30">
      <c r="A97" s="105" t="s">
        <v>1465</v>
      </c>
      <c r="B97" s="105" t="s">
        <v>1728</v>
      </c>
      <c r="C97" s="105" t="s">
        <v>1649</v>
      </c>
      <c r="D97" s="105" t="s">
        <v>1650</v>
      </c>
      <c r="E97" s="105" t="s">
        <v>1657</v>
      </c>
      <c r="F97" s="105" t="s">
        <v>1725</v>
      </c>
      <c r="G97" s="105" t="s">
        <v>1727</v>
      </c>
      <c r="H97" s="105" t="s">
        <v>1728</v>
      </c>
      <c r="M97" s="105" t="s">
        <v>1588</v>
      </c>
      <c r="N97" s="105" t="s">
        <v>1773</v>
      </c>
      <c r="O97" s="102">
        <v>44893</v>
      </c>
      <c r="P97" s="102">
        <v>44895</v>
      </c>
      <c r="Q97" s="102">
        <v>44866</v>
      </c>
      <c r="R97" s="102">
        <v>44895</v>
      </c>
      <c r="S97" s="103">
        <v>45</v>
      </c>
      <c r="T97" s="103">
        <v>9</v>
      </c>
      <c r="U97" s="103">
        <v>3</v>
      </c>
      <c r="V97" s="103">
        <v>0</v>
      </c>
      <c r="W97" s="103">
        <v>0</v>
      </c>
      <c r="X97" s="104">
        <v>1</v>
      </c>
      <c r="Y97" s="104">
        <v>0</v>
      </c>
      <c r="Z97" s="104">
        <v>0</v>
      </c>
      <c r="AC97" s="103">
        <v>0</v>
      </c>
      <c r="AD97" s="103">
        <v>0</v>
      </c>
    </row>
    <row r="98" spans="1:30">
      <c r="A98" s="105" t="s">
        <v>1466</v>
      </c>
      <c r="B98" s="105" t="s">
        <v>1729</v>
      </c>
      <c r="C98" s="105" t="s">
        <v>1649</v>
      </c>
      <c r="D98" s="105" t="s">
        <v>1650</v>
      </c>
      <c r="E98" s="105" t="s">
        <v>1657</v>
      </c>
      <c r="F98" s="105" t="s">
        <v>1725</v>
      </c>
      <c r="G98" s="105" t="s">
        <v>1729</v>
      </c>
      <c r="M98" s="105" t="s">
        <v>1589</v>
      </c>
      <c r="N98" s="105" t="s">
        <v>1773</v>
      </c>
      <c r="O98" s="102">
        <v>44896</v>
      </c>
      <c r="P98" s="102">
        <v>44902</v>
      </c>
      <c r="Q98" s="102">
        <v>44896</v>
      </c>
      <c r="R98" s="102">
        <v>44926</v>
      </c>
      <c r="S98" s="103">
        <v>49</v>
      </c>
      <c r="T98" s="103">
        <v>13</v>
      </c>
      <c r="U98" s="103">
        <v>5</v>
      </c>
      <c r="V98" s="103">
        <v>0</v>
      </c>
      <c r="W98" s="103">
        <v>0</v>
      </c>
      <c r="X98" s="104">
        <v>1</v>
      </c>
      <c r="Y98" s="104">
        <v>0</v>
      </c>
      <c r="Z98" s="104">
        <v>0</v>
      </c>
      <c r="AC98" s="103">
        <v>0</v>
      </c>
      <c r="AD98" s="103">
        <v>0</v>
      </c>
    </row>
    <row r="99" spans="1:30">
      <c r="A99" s="105" t="s">
        <v>1466</v>
      </c>
      <c r="B99" s="105" t="s">
        <v>1730</v>
      </c>
      <c r="C99" s="105" t="s">
        <v>1649</v>
      </c>
      <c r="D99" s="105" t="s">
        <v>1650</v>
      </c>
      <c r="E99" s="105" t="s">
        <v>1657</v>
      </c>
      <c r="F99" s="105" t="s">
        <v>1725</v>
      </c>
      <c r="G99" s="105" t="s">
        <v>1730</v>
      </c>
      <c r="M99" s="105" t="s">
        <v>1590</v>
      </c>
      <c r="N99" s="105" t="s">
        <v>1773</v>
      </c>
      <c r="O99" s="102">
        <v>44903</v>
      </c>
      <c r="P99" s="102">
        <v>44904</v>
      </c>
      <c r="Q99" s="102">
        <v>44896</v>
      </c>
      <c r="R99" s="102">
        <v>44926</v>
      </c>
      <c r="S99" s="103">
        <v>49</v>
      </c>
      <c r="T99" s="103">
        <v>13</v>
      </c>
      <c r="U99" s="103">
        <v>2</v>
      </c>
      <c r="V99" s="103">
        <v>0</v>
      </c>
      <c r="W99" s="103">
        <v>0</v>
      </c>
      <c r="X99" s="104">
        <v>1</v>
      </c>
      <c r="Y99" s="104">
        <v>0</v>
      </c>
      <c r="Z99" s="104">
        <v>0</v>
      </c>
      <c r="AC99" s="103">
        <v>0</v>
      </c>
      <c r="AD99" s="103">
        <v>0</v>
      </c>
    </row>
    <row r="100" spans="1:30">
      <c r="A100" s="105" t="s">
        <v>1465</v>
      </c>
      <c r="B100" s="105" t="s">
        <v>1732</v>
      </c>
      <c r="C100" s="105" t="s">
        <v>1649</v>
      </c>
      <c r="D100" s="105" t="s">
        <v>1650</v>
      </c>
      <c r="E100" s="105" t="s">
        <v>1657</v>
      </c>
      <c r="F100" s="105" t="s">
        <v>1725</v>
      </c>
      <c r="G100" s="105" t="s">
        <v>1731</v>
      </c>
      <c r="H100" s="105" t="s">
        <v>1732</v>
      </c>
      <c r="M100" s="105" t="s">
        <v>1562</v>
      </c>
      <c r="N100" s="105" t="s">
        <v>1773</v>
      </c>
      <c r="O100" s="102">
        <v>44874</v>
      </c>
      <c r="P100" s="102">
        <v>44876</v>
      </c>
      <c r="Q100" s="102">
        <v>44866</v>
      </c>
      <c r="R100" s="102">
        <v>44895</v>
      </c>
      <c r="S100" s="103">
        <v>45</v>
      </c>
      <c r="T100" s="103">
        <v>9</v>
      </c>
      <c r="U100" s="103">
        <v>3</v>
      </c>
      <c r="V100" s="103">
        <v>0</v>
      </c>
      <c r="W100" s="103">
        <v>0</v>
      </c>
      <c r="X100" s="104">
        <v>1</v>
      </c>
      <c r="Y100" s="104">
        <v>0</v>
      </c>
      <c r="Z100" s="104">
        <v>0</v>
      </c>
      <c r="AC100" s="103">
        <v>0</v>
      </c>
      <c r="AD100" s="103">
        <v>0</v>
      </c>
    </row>
    <row r="101" spans="1:30">
      <c r="A101" s="105" t="s">
        <v>1649</v>
      </c>
      <c r="B101" s="105" t="s">
        <v>1734</v>
      </c>
      <c r="C101" s="105" t="s">
        <v>1649</v>
      </c>
      <c r="D101" s="105" t="s">
        <v>1650</v>
      </c>
      <c r="E101" s="105" t="s">
        <v>1657</v>
      </c>
      <c r="F101" s="105" t="s">
        <v>1725</v>
      </c>
      <c r="G101" s="105" t="s">
        <v>1731</v>
      </c>
      <c r="H101" s="105" t="s">
        <v>1733</v>
      </c>
      <c r="I101" s="105" t="s">
        <v>1734</v>
      </c>
      <c r="M101" s="105" t="s">
        <v>1512</v>
      </c>
      <c r="N101" s="105" t="s">
        <v>1773</v>
      </c>
      <c r="O101" s="102">
        <v>44879</v>
      </c>
      <c r="P101" s="102">
        <v>44880</v>
      </c>
      <c r="Q101" s="102">
        <v>44866</v>
      </c>
      <c r="R101" s="102">
        <v>44895</v>
      </c>
      <c r="S101" s="103">
        <v>45</v>
      </c>
      <c r="T101" s="103">
        <v>9</v>
      </c>
      <c r="U101" s="103">
        <v>2</v>
      </c>
      <c r="V101" s="103">
        <v>0</v>
      </c>
      <c r="W101" s="103">
        <v>0</v>
      </c>
      <c r="X101" s="104">
        <v>1</v>
      </c>
      <c r="Y101" s="104">
        <v>0</v>
      </c>
      <c r="Z101" s="104">
        <v>0</v>
      </c>
      <c r="AC101" s="103">
        <v>0</v>
      </c>
      <c r="AD101" s="103">
        <v>0</v>
      </c>
    </row>
    <row r="102" spans="1:30">
      <c r="A102" s="105" t="s">
        <v>1649</v>
      </c>
      <c r="B102" s="105" t="s">
        <v>1735</v>
      </c>
      <c r="C102" s="105" t="s">
        <v>1649</v>
      </c>
      <c r="D102" s="105" t="s">
        <v>1650</v>
      </c>
      <c r="E102" s="105" t="s">
        <v>1657</v>
      </c>
      <c r="F102" s="105" t="s">
        <v>1725</v>
      </c>
      <c r="G102" s="105" t="s">
        <v>1731</v>
      </c>
      <c r="H102" s="105" t="s">
        <v>1733</v>
      </c>
      <c r="I102" s="105" t="s">
        <v>1735</v>
      </c>
      <c r="M102" s="105" t="s">
        <v>1592</v>
      </c>
      <c r="N102" s="105" t="s">
        <v>1773</v>
      </c>
      <c r="O102" s="102">
        <v>44881</v>
      </c>
      <c r="P102" s="102">
        <v>44882</v>
      </c>
      <c r="Q102" s="102">
        <v>44866</v>
      </c>
      <c r="R102" s="102">
        <v>44895</v>
      </c>
      <c r="S102" s="103">
        <v>45</v>
      </c>
      <c r="T102" s="103">
        <v>9</v>
      </c>
      <c r="U102" s="103">
        <v>2</v>
      </c>
      <c r="V102" s="103">
        <v>0</v>
      </c>
      <c r="W102" s="103">
        <v>0</v>
      </c>
      <c r="X102" s="104">
        <v>1</v>
      </c>
      <c r="Y102" s="104">
        <v>0</v>
      </c>
      <c r="Z102" s="104">
        <v>0</v>
      </c>
      <c r="AC102" s="103">
        <v>0</v>
      </c>
      <c r="AD102" s="103">
        <v>0</v>
      </c>
    </row>
    <row r="103" spans="1:30">
      <c r="A103" s="105" t="s">
        <v>1649</v>
      </c>
      <c r="B103" s="105" t="s">
        <v>1736</v>
      </c>
      <c r="C103" s="105" t="s">
        <v>1649</v>
      </c>
      <c r="D103" s="105" t="s">
        <v>1650</v>
      </c>
      <c r="E103" s="105" t="s">
        <v>1657</v>
      </c>
      <c r="F103" s="105" t="s">
        <v>1725</v>
      </c>
      <c r="G103" s="105" t="s">
        <v>1731</v>
      </c>
      <c r="H103" s="105" t="s">
        <v>1733</v>
      </c>
      <c r="I103" s="105" t="s">
        <v>1736</v>
      </c>
      <c r="M103" s="105" t="s">
        <v>1593</v>
      </c>
      <c r="N103" s="105" t="s">
        <v>1773</v>
      </c>
      <c r="O103" s="102">
        <v>44883</v>
      </c>
      <c r="P103" s="102">
        <v>44887</v>
      </c>
      <c r="Q103" s="102">
        <v>44866</v>
      </c>
      <c r="R103" s="102">
        <v>44895</v>
      </c>
      <c r="S103" s="103">
        <v>45</v>
      </c>
      <c r="T103" s="103">
        <v>9</v>
      </c>
      <c r="U103" s="103">
        <v>3</v>
      </c>
      <c r="V103" s="103">
        <v>0</v>
      </c>
      <c r="W103" s="103">
        <v>0</v>
      </c>
      <c r="X103" s="104">
        <v>1</v>
      </c>
      <c r="Y103" s="104">
        <v>0</v>
      </c>
      <c r="Z103" s="104">
        <v>0</v>
      </c>
      <c r="AC103" s="103">
        <v>0</v>
      </c>
      <c r="AD103" s="103">
        <v>0</v>
      </c>
    </row>
    <row r="104" spans="1:30">
      <c r="A104" s="105" t="s">
        <v>1649</v>
      </c>
      <c r="B104" s="105" t="s">
        <v>1737</v>
      </c>
      <c r="C104" s="105" t="s">
        <v>1649</v>
      </c>
      <c r="D104" s="105" t="s">
        <v>1650</v>
      </c>
      <c r="E104" s="105" t="s">
        <v>1657</v>
      </c>
      <c r="F104" s="105" t="s">
        <v>1725</v>
      </c>
      <c r="G104" s="105" t="s">
        <v>1731</v>
      </c>
      <c r="H104" s="105" t="s">
        <v>1733</v>
      </c>
      <c r="I104" s="105" t="s">
        <v>1737</v>
      </c>
      <c r="M104" s="105" t="s">
        <v>1594</v>
      </c>
      <c r="N104" s="105" t="s">
        <v>1773</v>
      </c>
      <c r="O104" s="102">
        <v>44888</v>
      </c>
      <c r="P104" s="102">
        <v>44889</v>
      </c>
      <c r="Q104" s="102">
        <v>44866</v>
      </c>
      <c r="R104" s="102">
        <v>44895</v>
      </c>
      <c r="S104" s="103">
        <v>45</v>
      </c>
      <c r="T104" s="103">
        <v>9</v>
      </c>
      <c r="U104" s="103">
        <v>2</v>
      </c>
      <c r="V104" s="103">
        <v>0</v>
      </c>
      <c r="W104" s="103">
        <v>0</v>
      </c>
      <c r="X104" s="104">
        <v>1</v>
      </c>
      <c r="Y104" s="104">
        <v>0</v>
      </c>
      <c r="Z104" s="104">
        <v>0</v>
      </c>
      <c r="AC104" s="103">
        <v>0</v>
      </c>
      <c r="AD104" s="103">
        <v>0</v>
      </c>
    </row>
    <row r="105" spans="1:30">
      <c r="A105" s="105" t="s">
        <v>1465</v>
      </c>
      <c r="B105" s="105" t="s">
        <v>1740</v>
      </c>
      <c r="C105" s="105" t="s">
        <v>1649</v>
      </c>
      <c r="D105" s="105" t="s">
        <v>1650</v>
      </c>
      <c r="E105" s="105" t="s">
        <v>1657</v>
      </c>
      <c r="F105" s="105" t="s">
        <v>1738</v>
      </c>
      <c r="G105" s="105" t="s">
        <v>1739</v>
      </c>
      <c r="H105" s="105" t="s">
        <v>1740</v>
      </c>
      <c r="M105" s="105" t="s">
        <v>1596</v>
      </c>
      <c r="N105" s="105" t="s">
        <v>1776</v>
      </c>
      <c r="O105" s="102">
        <v>44840</v>
      </c>
      <c r="P105" s="102">
        <v>44854</v>
      </c>
      <c r="Q105" s="102">
        <v>44835</v>
      </c>
      <c r="R105" s="102">
        <v>44865</v>
      </c>
      <c r="S105" s="103">
        <v>40</v>
      </c>
      <c r="T105" s="103">
        <v>4</v>
      </c>
      <c r="U105" s="103">
        <v>10</v>
      </c>
      <c r="V105" s="103">
        <v>6</v>
      </c>
      <c r="W105" s="103">
        <v>0</v>
      </c>
      <c r="X105" s="104">
        <v>1</v>
      </c>
      <c r="Y105" s="104">
        <v>0.6</v>
      </c>
      <c r="Z105" s="104">
        <v>0</v>
      </c>
      <c r="AC105" s="103">
        <v>0</v>
      </c>
      <c r="AD105" s="103">
        <v>0</v>
      </c>
    </row>
    <row r="106" spans="1:30">
      <c r="A106" s="105" t="s">
        <v>1465</v>
      </c>
      <c r="B106" s="105" t="s">
        <v>1741</v>
      </c>
      <c r="C106" s="105" t="s">
        <v>1649</v>
      </c>
      <c r="D106" s="105" t="s">
        <v>1650</v>
      </c>
      <c r="E106" s="105" t="s">
        <v>1657</v>
      </c>
      <c r="F106" s="105" t="s">
        <v>1738</v>
      </c>
      <c r="G106" s="105" t="s">
        <v>1739</v>
      </c>
      <c r="H106" s="105" t="s">
        <v>1741</v>
      </c>
      <c r="M106" s="105" t="s">
        <v>1597</v>
      </c>
      <c r="N106" s="105" t="s">
        <v>1776</v>
      </c>
      <c r="O106" s="102">
        <v>44855</v>
      </c>
      <c r="P106" s="102">
        <v>44861</v>
      </c>
      <c r="Q106" s="102">
        <v>44835</v>
      </c>
      <c r="R106" s="102">
        <v>44865</v>
      </c>
      <c r="S106" s="103">
        <v>40</v>
      </c>
      <c r="T106" s="103">
        <v>4</v>
      </c>
      <c r="U106" s="103">
        <v>5</v>
      </c>
      <c r="V106" s="103">
        <v>0</v>
      </c>
      <c r="W106" s="103">
        <v>0</v>
      </c>
      <c r="X106" s="104">
        <v>1</v>
      </c>
      <c r="Y106" s="104">
        <v>0</v>
      </c>
      <c r="Z106" s="104">
        <v>0</v>
      </c>
      <c r="AC106" s="103">
        <v>0</v>
      </c>
      <c r="AD106" s="103">
        <v>0</v>
      </c>
    </row>
    <row r="107" spans="1:30">
      <c r="A107" s="105" t="s">
        <v>1465</v>
      </c>
      <c r="B107" s="105" t="s">
        <v>1742</v>
      </c>
      <c r="C107" s="105" t="s">
        <v>1649</v>
      </c>
      <c r="D107" s="105" t="s">
        <v>1650</v>
      </c>
      <c r="E107" s="105" t="s">
        <v>1657</v>
      </c>
      <c r="F107" s="105" t="s">
        <v>1738</v>
      </c>
      <c r="G107" s="105" t="s">
        <v>1739</v>
      </c>
      <c r="H107" s="105" t="s">
        <v>1742</v>
      </c>
      <c r="M107" s="105" t="s">
        <v>1598</v>
      </c>
      <c r="N107" s="105" t="s">
        <v>1776</v>
      </c>
      <c r="O107" s="102">
        <v>44862</v>
      </c>
      <c r="P107" s="102">
        <v>44862</v>
      </c>
      <c r="Q107" s="102">
        <v>44835</v>
      </c>
      <c r="R107" s="102">
        <v>44865</v>
      </c>
      <c r="S107" s="103">
        <v>40</v>
      </c>
      <c r="T107" s="103">
        <v>4</v>
      </c>
      <c r="U107" s="103">
        <v>1</v>
      </c>
      <c r="V107" s="103">
        <v>0</v>
      </c>
      <c r="W107" s="103">
        <v>0</v>
      </c>
      <c r="X107" s="104">
        <v>1</v>
      </c>
      <c r="Y107" s="104">
        <v>0</v>
      </c>
      <c r="Z107" s="104">
        <v>0</v>
      </c>
      <c r="AC107" s="103">
        <v>0</v>
      </c>
      <c r="AD107" s="103">
        <v>0</v>
      </c>
    </row>
    <row r="108" spans="1:30">
      <c r="A108" s="105" t="s">
        <v>1465</v>
      </c>
      <c r="B108" s="105" t="s">
        <v>1743</v>
      </c>
      <c r="C108" s="105" t="s">
        <v>1649</v>
      </c>
      <c r="D108" s="105" t="s">
        <v>1650</v>
      </c>
      <c r="E108" s="105" t="s">
        <v>1657</v>
      </c>
      <c r="F108" s="105" t="s">
        <v>1738</v>
      </c>
      <c r="G108" s="105" t="s">
        <v>1739</v>
      </c>
      <c r="H108" s="105" t="s">
        <v>1743</v>
      </c>
      <c r="M108" s="105" t="s">
        <v>1599</v>
      </c>
      <c r="N108" s="105" t="s">
        <v>1776</v>
      </c>
      <c r="O108" s="102">
        <v>44865</v>
      </c>
      <c r="P108" s="102">
        <v>44869</v>
      </c>
      <c r="Q108" s="102">
        <v>44835</v>
      </c>
      <c r="R108" s="102">
        <v>44865</v>
      </c>
      <c r="S108" s="103">
        <v>40</v>
      </c>
      <c r="T108" s="103">
        <v>4</v>
      </c>
      <c r="U108" s="103">
        <v>1</v>
      </c>
      <c r="V108" s="103">
        <v>0</v>
      </c>
      <c r="W108" s="103">
        <v>0</v>
      </c>
      <c r="X108" s="104">
        <v>1</v>
      </c>
      <c r="Y108" s="104">
        <v>0</v>
      </c>
      <c r="Z108" s="104">
        <v>0</v>
      </c>
      <c r="AC108" s="103">
        <v>0</v>
      </c>
      <c r="AD108" s="103">
        <v>0</v>
      </c>
    </row>
    <row r="109" spans="1:30">
      <c r="A109" s="105" t="s">
        <v>1465</v>
      </c>
      <c r="B109" s="105" t="s">
        <v>1743</v>
      </c>
      <c r="C109" s="105" t="s">
        <v>1649</v>
      </c>
      <c r="D109" s="105" t="s">
        <v>1650</v>
      </c>
      <c r="E109" s="105" t="s">
        <v>1657</v>
      </c>
      <c r="F109" s="105" t="s">
        <v>1738</v>
      </c>
      <c r="G109" s="105" t="s">
        <v>1739</v>
      </c>
      <c r="H109" s="105" t="s">
        <v>1743</v>
      </c>
      <c r="M109" s="105" t="s">
        <v>1599</v>
      </c>
      <c r="N109" s="105" t="s">
        <v>1776</v>
      </c>
      <c r="O109" s="102">
        <v>44865</v>
      </c>
      <c r="P109" s="102">
        <v>44869</v>
      </c>
      <c r="Q109" s="102">
        <v>44866</v>
      </c>
      <c r="R109" s="102">
        <v>44895</v>
      </c>
      <c r="S109" s="103">
        <v>45</v>
      </c>
      <c r="T109" s="103">
        <v>9</v>
      </c>
      <c r="U109" s="103">
        <v>4</v>
      </c>
      <c r="V109" s="103">
        <v>0</v>
      </c>
      <c r="W109" s="103">
        <v>0</v>
      </c>
      <c r="X109" s="104">
        <v>1</v>
      </c>
      <c r="Y109" s="104">
        <v>0</v>
      </c>
      <c r="Z109" s="104">
        <v>0</v>
      </c>
      <c r="AC109" s="103">
        <v>0</v>
      </c>
      <c r="AD109" s="103">
        <v>0</v>
      </c>
    </row>
    <row r="110" spans="1:30">
      <c r="A110" s="105" t="s">
        <v>1466</v>
      </c>
      <c r="B110" s="105" t="s">
        <v>1744</v>
      </c>
      <c r="C110" s="105" t="s">
        <v>1649</v>
      </c>
      <c r="D110" s="105" t="s">
        <v>1650</v>
      </c>
      <c r="E110" s="105" t="s">
        <v>1657</v>
      </c>
      <c r="F110" s="105" t="s">
        <v>1738</v>
      </c>
      <c r="G110" s="105" t="s">
        <v>1744</v>
      </c>
      <c r="M110" s="105" t="s">
        <v>1600</v>
      </c>
      <c r="N110" s="105" t="s">
        <v>1776</v>
      </c>
      <c r="O110" s="102">
        <v>44872</v>
      </c>
      <c r="P110" s="102">
        <v>44876</v>
      </c>
      <c r="Q110" s="102">
        <v>44866</v>
      </c>
      <c r="R110" s="102">
        <v>44895</v>
      </c>
      <c r="S110" s="103">
        <v>45</v>
      </c>
      <c r="T110" s="103">
        <v>9</v>
      </c>
      <c r="U110" s="103">
        <v>5</v>
      </c>
      <c r="V110" s="103">
        <v>0</v>
      </c>
      <c r="W110" s="103">
        <v>0</v>
      </c>
      <c r="X110" s="104">
        <v>1</v>
      </c>
      <c r="Y110" s="104">
        <v>0</v>
      </c>
      <c r="Z110" s="104">
        <v>0</v>
      </c>
      <c r="AC110" s="103">
        <v>0</v>
      </c>
      <c r="AD110" s="103">
        <v>0</v>
      </c>
    </row>
    <row r="111" spans="1:30">
      <c r="A111" s="105" t="s">
        <v>1466</v>
      </c>
      <c r="B111" s="105" t="s">
        <v>1746</v>
      </c>
      <c r="C111" s="105" t="s">
        <v>1649</v>
      </c>
      <c r="D111" s="105" t="s">
        <v>1650</v>
      </c>
      <c r="E111" s="105" t="s">
        <v>1657</v>
      </c>
      <c r="F111" s="105" t="s">
        <v>1745</v>
      </c>
      <c r="G111" s="105" t="s">
        <v>1746</v>
      </c>
      <c r="M111" s="105" t="s">
        <v>1562</v>
      </c>
      <c r="N111" s="105" t="s">
        <v>1776</v>
      </c>
      <c r="O111" s="102">
        <v>44879</v>
      </c>
      <c r="P111" s="102">
        <v>44880</v>
      </c>
      <c r="Q111" s="102">
        <v>44866</v>
      </c>
      <c r="R111" s="102">
        <v>44895</v>
      </c>
      <c r="S111" s="103">
        <v>45</v>
      </c>
      <c r="T111" s="103">
        <v>9</v>
      </c>
      <c r="U111" s="103">
        <v>2</v>
      </c>
      <c r="V111" s="103">
        <v>0</v>
      </c>
      <c r="W111" s="103">
        <v>0</v>
      </c>
      <c r="X111" s="104">
        <v>1</v>
      </c>
      <c r="Y111" s="104">
        <v>0</v>
      </c>
      <c r="Z111" s="104">
        <v>0</v>
      </c>
      <c r="AC111" s="103">
        <v>0</v>
      </c>
      <c r="AD111" s="103">
        <v>0</v>
      </c>
    </row>
    <row r="112" spans="1:30">
      <c r="A112" s="105" t="s">
        <v>1465</v>
      </c>
      <c r="B112" s="105" t="s">
        <v>1748</v>
      </c>
      <c r="C112" s="105" t="s">
        <v>1649</v>
      </c>
      <c r="D112" s="105" t="s">
        <v>1650</v>
      </c>
      <c r="E112" s="105" t="s">
        <v>1657</v>
      </c>
      <c r="F112" s="105" t="s">
        <v>1745</v>
      </c>
      <c r="G112" s="105" t="s">
        <v>1747</v>
      </c>
      <c r="H112" s="105" t="s">
        <v>1748</v>
      </c>
      <c r="M112" s="105" t="s">
        <v>1601</v>
      </c>
      <c r="N112" s="105" t="s">
        <v>1776</v>
      </c>
      <c r="O112" s="102">
        <v>44881</v>
      </c>
      <c r="P112" s="102">
        <v>44883</v>
      </c>
      <c r="Q112" s="102">
        <v>44866</v>
      </c>
      <c r="R112" s="102">
        <v>44895</v>
      </c>
      <c r="S112" s="103">
        <v>45</v>
      </c>
      <c r="T112" s="103">
        <v>9</v>
      </c>
      <c r="U112" s="103">
        <v>3</v>
      </c>
      <c r="V112" s="103">
        <v>0</v>
      </c>
      <c r="W112" s="103">
        <v>0</v>
      </c>
      <c r="X112" s="104">
        <v>1</v>
      </c>
      <c r="Y112" s="104">
        <v>0</v>
      </c>
      <c r="Z112" s="104">
        <v>0</v>
      </c>
      <c r="AC112" s="103">
        <v>0</v>
      </c>
      <c r="AD112" s="103">
        <v>0</v>
      </c>
    </row>
    <row r="113" spans="1:30">
      <c r="A113" s="105" t="s">
        <v>1465</v>
      </c>
      <c r="B113" s="105" t="s">
        <v>1749</v>
      </c>
      <c r="C113" s="105" t="s">
        <v>1649</v>
      </c>
      <c r="D113" s="105" t="s">
        <v>1650</v>
      </c>
      <c r="E113" s="105" t="s">
        <v>1657</v>
      </c>
      <c r="F113" s="105" t="s">
        <v>1745</v>
      </c>
      <c r="G113" s="105" t="s">
        <v>1747</v>
      </c>
      <c r="H113" s="105" t="s">
        <v>1749</v>
      </c>
      <c r="M113" s="105" t="s">
        <v>1602</v>
      </c>
      <c r="N113" s="105" t="s">
        <v>1776</v>
      </c>
      <c r="O113" s="102">
        <v>44886</v>
      </c>
      <c r="P113" s="102">
        <v>44887</v>
      </c>
      <c r="Q113" s="102">
        <v>44866</v>
      </c>
      <c r="R113" s="102">
        <v>44895</v>
      </c>
      <c r="S113" s="103">
        <v>45</v>
      </c>
      <c r="T113" s="103">
        <v>9</v>
      </c>
      <c r="U113" s="103">
        <v>2</v>
      </c>
      <c r="V113" s="103">
        <v>0</v>
      </c>
      <c r="W113" s="103">
        <v>0</v>
      </c>
      <c r="X113" s="104">
        <v>1</v>
      </c>
      <c r="Y113" s="104">
        <v>0</v>
      </c>
      <c r="Z113" s="104">
        <v>0</v>
      </c>
      <c r="AC113" s="103">
        <v>0</v>
      </c>
      <c r="AD113" s="103">
        <v>0</v>
      </c>
    </row>
    <row r="114" spans="1:30">
      <c r="A114" s="105" t="s">
        <v>1465</v>
      </c>
      <c r="B114" s="105" t="s">
        <v>1750</v>
      </c>
      <c r="C114" s="105" t="s">
        <v>1649</v>
      </c>
      <c r="D114" s="105" t="s">
        <v>1650</v>
      </c>
      <c r="E114" s="105" t="s">
        <v>1657</v>
      </c>
      <c r="F114" s="105" t="s">
        <v>1745</v>
      </c>
      <c r="G114" s="105" t="s">
        <v>1747</v>
      </c>
      <c r="H114" s="105" t="s">
        <v>1750</v>
      </c>
      <c r="M114" s="105" t="s">
        <v>1568</v>
      </c>
      <c r="N114" s="105" t="s">
        <v>1776</v>
      </c>
      <c r="O114" s="102">
        <v>44888</v>
      </c>
      <c r="P114" s="102">
        <v>44889</v>
      </c>
      <c r="Q114" s="102">
        <v>44866</v>
      </c>
      <c r="R114" s="102">
        <v>44895</v>
      </c>
      <c r="S114" s="103">
        <v>45</v>
      </c>
      <c r="T114" s="103">
        <v>9</v>
      </c>
      <c r="U114" s="103">
        <v>2</v>
      </c>
      <c r="V114" s="103">
        <v>0</v>
      </c>
      <c r="W114" s="103">
        <v>0</v>
      </c>
      <c r="X114" s="104">
        <v>1</v>
      </c>
      <c r="Y114" s="104">
        <v>0</v>
      </c>
      <c r="Z114" s="104">
        <v>0</v>
      </c>
      <c r="AC114" s="103">
        <v>0</v>
      </c>
      <c r="AD114" s="103">
        <v>0</v>
      </c>
    </row>
    <row r="115" spans="1:30">
      <c r="A115" s="105" t="s">
        <v>1465</v>
      </c>
      <c r="B115" s="105" t="s">
        <v>1753</v>
      </c>
      <c r="C115" s="105" t="s">
        <v>1649</v>
      </c>
      <c r="D115" s="105" t="s">
        <v>1650</v>
      </c>
      <c r="E115" s="105" t="s">
        <v>1657</v>
      </c>
      <c r="F115" s="105" t="s">
        <v>1751</v>
      </c>
      <c r="G115" s="105" t="s">
        <v>1752</v>
      </c>
      <c r="H115" s="105" t="s">
        <v>1753</v>
      </c>
      <c r="M115" s="105" t="s">
        <v>1603</v>
      </c>
      <c r="N115" s="105" t="s">
        <v>1776</v>
      </c>
      <c r="O115" s="102">
        <v>44890</v>
      </c>
      <c r="P115" s="102">
        <v>44894</v>
      </c>
      <c r="Q115" s="102">
        <v>44866</v>
      </c>
      <c r="R115" s="102">
        <v>44895</v>
      </c>
      <c r="S115" s="103">
        <v>45</v>
      </c>
      <c r="T115" s="103">
        <v>9</v>
      </c>
      <c r="U115" s="103">
        <v>3</v>
      </c>
      <c r="V115" s="103">
        <v>0</v>
      </c>
      <c r="W115" s="103">
        <v>0</v>
      </c>
      <c r="X115" s="104">
        <v>1</v>
      </c>
      <c r="Y115" s="104">
        <v>0</v>
      </c>
      <c r="Z115" s="104">
        <v>0</v>
      </c>
      <c r="AC115" s="103">
        <v>0</v>
      </c>
      <c r="AD115" s="103">
        <v>0</v>
      </c>
    </row>
    <row r="116" spans="1:30">
      <c r="A116" s="105" t="s">
        <v>1465</v>
      </c>
      <c r="B116" s="105" t="s">
        <v>1754</v>
      </c>
      <c r="C116" s="105" t="s">
        <v>1649</v>
      </c>
      <c r="D116" s="105" t="s">
        <v>1650</v>
      </c>
      <c r="E116" s="105" t="s">
        <v>1657</v>
      </c>
      <c r="F116" s="105" t="s">
        <v>1751</v>
      </c>
      <c r="G116" s="105" t="s">
        <v>1752</v>
      </c>
      <c r="H116" s="105" t="s">
        <v>1754</v>
      </c>
      <c r="M116" s="105" t="s">
        <v>1576</v>
      </c>
      <c r="N116" s="105" t="s">
        <v>1776</v>
      </c>
      <c r="O116" s="102">
        <v>44895</v>
      </c>
      <c r="P116" s="102">
        <v>44895</v>
      </c>
      <c r="Q116" s="102">
        <v>44866</v>
      </c>
      <c r="R116" s="102">
        <v>44895</v>
      </c>
      <c r="S116" s="103">
        <v>45</v>
      </c>
      <c r="T116" s="103">
        <v>9</v>
      </c>
      <c r="U116" s="103">
        <v>1</v>
      </c>
      <c r="V116" s="103">
        <v>0</v>
      </c>
      <c r="W116" s="103">
        <v>0</v>
      </c>
      <c r="X116" s="104">
        <v>1</v>
      </c>
      <c r="Y116" s="104">
        <v>0</v>
      </c>
      <c r="Z116" s="104">
        <v>0</v>
      </c>
      <c r="AC116" s="103">
        <v>0</v>
      </c>
      <c r="AD116" s="103">
        <v>0</v>
      </c>
    </row>
    <row r="117" spans="1:30">
      <c r="A117" s="105" t="s">
        <v>1465</v>
      </c>
      <c r="B117" s="105" t="s">
        <v>1755</v>
      </c>
      <c r="C117" s="105" t="s">
        <v>1649</v>
      </c>
      <c r="D117" s="105" t="s">
        <v>1650</v>
      </c>
      <c r="E117" s="105" t="s">
        <v>1657</v>
      </c>
      <c r="F117" s="105" t="s">
        <v>1751</v>
      </c>
      <c r="G117" s="105" t="s">
        <v>1752</v>
      </c>
      <c r="H117" s="105" t="s">
        <v>1755</v>
      </c>
      <c r="M117" s="105" t="s">
        <v>1604</v>
      </c>
      <c r="N117" s="105" t="s">
        <v>1776</v>
      </c>
      <c r="O117" s="102">
        <v>44896</v>
      </c>
      <c r="P117" s="102">
        <v>44909</v>
      </c>
      <c r="Q117" s="102">
        <v>44896</v>
      </c>
      <c r="R117" s="102">
        <v>44926</v>
      </c>
      <c r="S117" s="103">
        <v>49</v>
      </c>
      <c r="T117" s="103">
        <v>13</v>
      </c>
      <c r="U117" s="103">
        <v>10</v>
      </c>
      <c r="V117" s="103">
        <v>0</v>
      </c>
      <c r="W117" s="103">
        <v>0</v>
      </c>
      <c r="X117" s="104">
        <v>1</v>
      </c>
      <c r="Y117" s="104">
        <v>0</v>
      </c>
      <c r="Z117" s="104">
        <v>0</v>
      </c>
      <c r="AC117" s="103">
        <v>0</v>
      </c>
      <c r="AD117" s="103">
        <v>0</v>
      </c>
    </row>
    <row r="118" spans="1:30">
      <c r="A118" s="105" t="s">
        <v>1465</v>
      </c>
      <c r="B118" s="105" t="s">
        <v>1756</v>
      </c>
      <c r="C118" s="105" t="s">
        <v>1649</v>
      </c>
      <c r="D118" s="105" t="s">
        <v>1650</v>
      </c>
      <c r="E118" s="105" t="s">
        <v>1657</v>
      </c>
      <c r="F118" s="105" t="s">
        <v>1751</v>
      </c>
      <c r="G118" s="105" t="s">
        <v>1752</v>
      </c>
      <c r="H118" s="105" t="s">
        <v>1756</v>
      </c>
      <c r="M118" s="105" t="s">
        <v>1605</v>
      </c>
      <c r="N118" s="105" t="s">
        <v>1776</v>
      </c>
      <c r="O118" s="102">
        <v>44910</v>
      </c>
      <c r="P118" s="102">
        <v>44918</v>
      </c>
      <c r="Q118" s="102">
        <v>44896</v>
      </c>
      <c r="R118" s="102">
        <v>44926</v>
      </c>
      <c r="S118" s="103">
        <v>49</v>
      </c>
      <c r="T118" s="103">
        <v>13</v>
      </c>
      <c r="U118" s="103">
        <v>7</v>
      </c>
      <c r="V118" s="103">
        <v>0</v>
      </c>
      <c r="W118" s="103">
        <v>0</v>
      </c>
      <c r="X118" s="104">
        <v>1</v>
      </c>
      <c r="Y118" s="104">
        <v>0</v>
      </c>
      <c r="Z118" s="104">
        <v>0</v>
      </c>
      <c r="AC118" s="103">
        <v>0</v>
      </c>
      <c r="AD118" s="103">
        <v>0</v>
      </c>
    </row>
    <row r="119" spans="1:30">
      <c r="A119" s="105" t="s">
        <v>1465</v>
      </c>
      <c r="B119" s="105" t="s">
        <v>1758</v>
      </c>
      <c r="C119" s="105" t="s">
        <v>1649</v>
      </c>
      <c r="D119" s="105" t="s">
        <v>1650</v>
      </c>
      <c r="E119" s="105" t="s">
        <v>1657</v>
      </c>
      <c r="F119" s="105" t="s">
        <v>1751</v>
      </c>
      <c r="G119" s="105" t="s">
        <v>1757</v>
      </c>
      <c r="H119" s="105" t="s">
        <v>1758</v>
      </c>
      <c r="M119" s="105" t="s">
        <v>1607</v>
      </c>
      <c r="N119" s="105" t="s">
        <v>1776</v>
      </c>
      <c r="O119" s="102">
        <v>44922</v>
      </c>
      <c r="P119" s="102">
        <v>44923</v>
      </c>
      <c r="Q119" s="102">
        <v>44896</v>
      </c>
      <c r="R119" s="102">
        <v>44926</v>
      </c>
      <c r="S119" s="103">
        <v>49</v>
      </c>
      <c r="T119" s="103">
        <v>13</v>
      </c>
      <c r="U119" s="103">
        <v>2</v>
      </c>
      <c r="V119" s="103">
        <v>0</v>
      </c>
      <c r="W119" s="103">
        <v>0</v>
      </c>
      <c r="X119" s="104">
        <v>1</v>
      </c>
      <c r="Y119" s="104">
        <v>0</v>
      </c>
      <c r="Z119" s="104">
        <v>0</v>
      </c>
      <c r="AC119" s="103">
        <v>0</v>
      </c>
      <c r="AD119" s="103">
        <v>0</v>
      </c>
    </row>
    <row r="120" spans="1:30">
      <c r="A120" s="105" t="s">
        <v>1465</v>
      </c>
      <c r="B120" s="105" t="s">
        <v>1759</v>
      </c>
      <c r="C120" s="105" t="s">
        <v>1649</v>
      </c>
      <c r="D120" s="105" t="s">
        <v>1650</v>
      </c>
      <c r="E120" s="105" t="s">
        <v>1657</v>
      </c>
      <c r="F120" s="105" t="s">
        <v>1751</v>
      </c>
      <c r="G120" s="105" t="s">
        <v>1757</v>
      </c>
      <c r="H120" s="105" t="s">
        <v>1759</v>
      </c>
      <c r="M120" s="105" t="s">
        <v>1608</v>
      </c>
      <c r="N120" s="105" t="s">
        <v>1776</v>
      </c>
      <c r="O120" s="102">
        <v>44924</v>
      </c>
      <c r="P120" s="102">
        <v>44925</v>
      </c>
      <c r="Q120" s="102">
        <v>44896</v>
      </c>
      <c r="R120" s="102">
        <v>44926</v>
      </c>
      <c r="S120" s="103">
        <v>49</v>
      </c>
      <c r="T120" s="103">
        <v>13</v>
      </c>
      <c r="U120" s="103">
        <v>2</v>
      </c>
      <c r="V120" s="103">
        <v>0</v>
      </c>
      <c r="W120" s="103">
        <v>0</v>
      </c>
      <c r="X120" s="104">
        <v>1</v>
      </c>
      <c r="Y120" s="104">
        <v>0</v>
      </c>
      <c r="Z120" s="104">
        <v>0</v>
      </c>
      <c r="AC120" s="103">
        <v>0</v>
      </c>
      <c r="AD120" s="103">
        <v>0</v>
      </c>
    </row>
    <row r="121" spans="1:30">
      <c r="A121" s="105" t="s">
        <v>1463</v>
      </c>
      <c r="B121" s="105" t="s">
        <v>1762</v>
      </c>
      <c r="C121" s="105" t="s">
        <v>1760</v>
      </c>
      <c r="D121" s="105" t="s">
        <v>1761</v>
      </c>
      <c r="E121" s="105" t="s">
        <v>1762</v>
      </c>
      <c r="M121" s="105" t="s">
        <v>1610</v>
      </c>
      <c r="N121" s="105" t="s">
        <v>1777</v>
      </c>
      <c r="O121" s="102">
        <v>44928</v>
      </c>
      <c r="P121" s="102">
        <v>44930</v>
      </c>
      <c r="Q121" s="102">
        <v>44927</v>
      </c>
      <c r="R121" s="102">
        <v>44957</v>
      </c>
      <c r="S121" s="103">
        <v>1</v>
      </c>
      <c r="T121" s="103">
        <v>17</v>
      </c>
      <c r="U121" s="103">
        <v>3</v>
      </c>
      <c r="V121" s="103">
        <v>0</v>
      </c>
      <c r="W121" s="103">
        <v>0</v>
      </c>
      <c r="X121" s="104">
        <v>1</v>
      </c>
      <c r="Y121" s="104">
        <v>0</v>
      </c>
      <c r="Z121" s="104">
        <v>0</v>
      </c>
      <c r="AC121" s="103">
        <v>0</v>
      </c>
      <c r="AD121" s="103">
        <v>0</v>
      </c>
    </row>
    <row r="122" spans="1:30">
      <c r="A122" s="105" t="s">
        <v>1463</v>
      </c>
      <c r="B122" s="105" t="s">
        <v>1763</v>
      </c>
      <c r="C122" s="105" t="s">
        <v>1760</v>
      </c>
      <c r="D122" s="105" t="s">
        <v>1761</v>
      </c>
      <c r="E122" s="105" t="s">
        <v>1763</v>
      </c>
      <c r="M122" s="105" t="s">
        <v>1611</v>
      </c>
      <c r="N122" s="105" t="s">
        <v>1777</v>
      </c>
      <c r="O122" s="102">
        <v>44931</v>
      </c>
      <c r="P122" s="102">
        <v>44939</v>
      </c>
      <c r="Q122" s="102">
        <v>44927</v>
      </c>
      <c r="R122" s="102">
        <v>44957</v>
      </c>
      <c r="S122" s="103">
        <v>1</v>
      </c>
      <c r="T122" s="103">
        <v>17</v>
      </c>
      <c r="U122" s="103">
        <v>7</v>
      </c>
      <c r="V122" s="103">
        <v>0</v>
      </c>
      <c r="W122" s="103">
        <v>0</v>
      </c>
      <c r="X122" s="104">
        <v>1</v>
      </c>
      <c r="Y122" s="104">
        <v>0</v>
      </c>
      <c r="Z122" s="104">
        <v>0</v>
      </c>
      <c r="AC122" s="103">
        <v>0</v>
      </c>
      <c r="AD122" s="103">
        <v>0</v>
      </c>
    </row>
    <row r="123" spans="1:30">
      <c r="A123" s="105" t="s">
        <v>1463</v>
      </c>
      <c r="B123" s="105" t="s">
        <v>1765</v>
      </c>
      <c r="C123" s="105" t="s">
        <v>1760</v>
      </c>
      <c r="D123" s="105" t="s">
        <v>1764</v>
      </c>
      <c r="E123" s="105" t="s">
        <v>1765</v>
      </c>
      <c r="M123" s="105" t="s">
        <v>1612</v>
      </c>
      <c r="N123" s="105" t="s">
        <v>1777</v>
      </c>
      <c r="O123" s="102">
        <v>44942</v>
      </c>
      <c r="P123" s="102">
        <v>44943</v>
      </c>
      <c r="Q123" s="102">
        <v>44927</v>
      </c>
      <c r="R123" s="102">
        <v>44957</v>
      </c>
      <c r="S123" s="103">
        <v>1</v>
      </c>
      <c r="T123" s="103">
        <v>17</v>
      </c>
      <c r="U123" s="103">
        <v>2</v>
      </c>
      <c r="V123" s="103">
        <v>0</v>
      </c>
      <c r="W123" s="103">
        <v>0</v>
      </c>
      <c r="X123" s="104">
        <v>1</v>
      </c>
      <c r="Y123" s="104">
        <v>0</v>
      </c>
      <c r="Z123" s="104">
        <v>0</v>
      </c>
      <c r="AC123" s="103">
        <v>0</v>
      </c>
      <c r="AD123" s="103">
        <v>0</v>
      </c>
    </row>
    <row r="124" spans="1:30">
      <c r="A124" s="105" t="s">
        <v>1463</v>
      </c>
      <c r="B124" s="105" t="s">
        <v>1766</v>
      </c>
      <c r="C124" s="105" t="s">
        <v>1760</v>
      </c>
      <c r="D124" s="105" t="s">
        <v>1764</v>
      </c>
      <c r="E124" s="105" t="s">
        <v>1766</v>
      </c>
      <c r="M124" s="105" t="s">
        <v>1611</v>
      </c>
      <c r="N124" s="105" t="s">
        <v>1777</v>
      </c>
      <c r="O124" s="102">
        <v>44944</v>
      </c>
      <c r="P124" s="102">
        <v>44949</v>
      </c>
      <c r="Q124" s="102">
        <v>44927</v>
      </c>
      <c r="R124" s="102">
        <v>44957</v>
      </c>
      <c r="S124" s="103">
        <v>1</v>
      </c>
      <c r="T124" s="103">
        <v>17</v>
      </c>
      <c r="U124" s="103">
        <v>4</v>
      </c>
      <c r="V124" s="103">
        <v>0</v>
      </c>
      <c r="W124" s="103">
        <v>0</v>
      </c>
      <c r="X124" s="104">
        <v>1</v>
      </c>
      <c r="Y124" s="104">
        <v>0</v>
      </c>
      <c r="Z124" s="104">
        <v>0</v>
      </c>
      <c r="AC124" s="103">
        <v>0</v>
      </c>
      <c r="AD124" s="103">
        <v>0</v>
      </c>
    </row>
    <row r="125" spans="1:30">
      <c r="A125" s="105" t="s">
        <v>1463</v>
      </c>
      <c r="B125" s="105" t="s">
        <v>1769</v>
      </c>
      <c r="C125" s="105" t="s">
        <v>1767</v>
      </c>
      <c r="D125" s="105" t="s">
        <v>1768</v>
      </c>
      <c r="E125" s="105" t="s">
        <v>1769</v>
      </c>
      <c r="M125" s="105" t="s">
        <v>1615</v>
      </c>
      <c r="N125" s="105" t="s">
        <v>1777</v>
      </c>
      <c r="O125" s="102">
        <v>44950</v>
      </c>
      <c r="P125" s="102">
        <v>44953</v>
      </c>
      <c r="Q125" s="102">
        <v>44927</v>
      </c>
      <c r="R125" s="102">
        <v>44957</v>
      </c>
      <c r="S125" s="103">
        <v>1</v>
      </c>
      <c r="T125" s="103">
        <v>17</v>
      </c>
      <c r="U125" s="103">
        <v>4</v>
      </c>
      <c r="V125" s="103">
        <v>0</v>
      </c>
      <c r="W125" s="103">
        <v>0</v>
      </c>
      <c r="X125" s="104">
        <v>1</v>
      </c>
      <c r="Y125" s="104">
        <v>0</v>
      </c>
      <c r="Z125" s="104">
        <v>0</v>
      </c>
      <c r="AC125" s="103">
        <v>0</v>
      </c>
      <c r="AD125" s="103">
        <v>0</v>
      </c>
    </row>
    <row r="126" spans="1:30">
      <c r="A126" s="105" t="s">
        <v>1463</v>
      </c>
      <c r="B126" s="105" t="s">
        <v>1770</v>
      </c>
      <c r="C126" s="105" t="s">
        <v>1767</v>
      </c>
      <c r="D126" s="105" t="s">
        <v>1768</v>
      </c>
      <c r="E126" s="105" t="s">
        <v>1770</v>
      </c>
      <c r="M126" s="105" t="s">
        <v>1616</v>
      </c>
      <c r="N126" s="105" t="s">
        <v>1777</v>
      </c>
      <c r="O126" s="102">
        <v>44956</v>
      </c>
      <c r="P126" s="102">
        <v>44957</v>
      </c>
      <c r="Q126" s="102">
        <v>44927</v>
      </c>
      <c r="R126" s="102">
        <v>44957</v>
      </c>
      <c r="S126" s="103">
        <v>1</v>
      </c>
      <c r="T126" s="103">
        <v>17</v>
      </c>
      <c r="U126" s="103">
        <v>2</v>
      </c>
      <c r="V126" s="103">
        <v>0</v>
      </c>
      <c r="W126" s="103">
        <v>0</v>
      </c>
      <c r="X126" s="104">
        <v>1</v>
      </c>
      <c r="Y126" s="104">
        <v>0</v>
      </c>
      <c r="Z126" s="104">
        <v>0</v>
      </c>
      <c r="AC126" s="103">
        <v>0</v>
      </c>
      <c r="AD126" s="103">
        <v>0</v>
      </c>
    </row>
    <row r="127" spans="1:30">
      <c r="A127" s="105" t="s">
        <v>786</v>
      </c>
      <c r="B127" s="105" t="s">
        <v>1771</v>
      </c>
      <c r="C127" s="105" t="s">
        <v>1767</v>
      </c>
      <c r="D127" s="105" t="s">
        <v>1771</v>
      </c>
      <c r="M127" s="105" t="s">
        <v>1617</v>
      </c>
      <c r="N127" s="105" t="s">
        <v>1777</v>
      </c>
      <c r="O127" s="102">
        <v>44950</v>
      </c>
      <c r="P127" s="102">
        <v>44957</v>
      </c>
      <c r="Q127" s="102">
        <v>44927</v>
      </c>
      <c r="R127" s="102">
        <v>44957</v>
      </c>
      <c r="S127" s="103">
        <v>1</v>
      </c>
      <c r="T127" s="103">
        <v>17</v>
      </c>
      <c r="U127" s="103">
        <v>6</v>
      </c>
      <c r="V127" s="103">
        <v>0</v>
      </c>
      <c r="W127" s="103">
        <v>0</v>
      </c>
      <c r="X127" s="104">
        <v>1</v>
      </c>
      <c r="Y127" s="104">
        <v>0</v>
      </c>
      <c r="Z127" s="104">
        <v>0</v>
      </c>
      <c r="AC127" s="103">
        <v>0</v>
      </c>
      <c r="AD127" s="103">
        <v>0</v>
      </c>
    </row>
  </sheetData>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AB109"/>
  <sheetViews>
    <sheetView zoomScale="85" zoomScaleNormal="85" workbookViewId="0">
      <pane ySplit="1" topLeftCell="A2" activePane="bottomLeft" state="frozen"/>
      <selection pane="bottomLeft" activeCell="C10" sqref="C10"/>
    </sheetView>
  </sheetViews>
  <sheetFormatPr baseColWidth="10" defaultColWidth="10" defaultRowHeight="14"/>
  <cols>
    <col min="1" max="1" width="6.1640625" style="69" customWidth="1"/>
    <col min="2" max="2" width="33.1640625" style="69" bestFit="1" customWidth="1"/>
    <col min="3" max="3" width="20.1640625" style="68" customWidth="1"/>
    <col min="4" max="4" width="23.1640625" style="68" customWidth="1"/>
    <col min="5" max="5" width="10" style="68" customWidth="1"/>
    <col min="6" max="6" width="15.1640625" style="68" customWidth="1"/>
    <col min="7" max="7" width="21.1640625" style="68" bestFit="1" customWidth="1"/>
    <col min="8" max="8" width="40.33203125" style="69" customWidth="1"/>
    <col min="9" max="9" width="23.6640625" style="69" bestFit="1" customWidth="1"/>
    <col min="10" max="10" width="9.5" style="69" bestFit="1" customWidth="1"/>
    <col min="11" max="11" width="22.5" style="69" bestFit="1" customWidth="1"/>
    <col min="12" max="12" width="60.6640625" style="69" bestFit="1" customWidth="1"/>
    <col min="13" max="13" width="25.1640625" style="69" bestFit="1" customWidth="1"/>
    <col min="14" max="14" width="4.6640625" style="69" bestFit="1" customWidth="1"/>
    <col min="15" max="15" width="23" style="69" bestFit="1" customWidth="1"/>
    <col min="16" max="16" width="8" style="69" bestFit="1" customWidth="1"/>
    <col min="17" max="17" width="28.33203125" style="69" bestFit="1" customWidth="1"/>
    <col min="18" max="18" width="6" style="69" bestFit="1" customWidth="1"/>
    <col min="19" max="19" width="27.6640625" style="69" bestFit="1" customWidth="1"/>
    <col min="20" max="20" width="4.6640625" style="69" bestFit="1" customWidth="1"/>
    <col min="21" max="21" width="24.33203125" style="69" bestFit="1" customWidth="1"/>
    <col min="22" max="22" width="4.1640625" style="69" bestFit="1" customWidth="1"/>
    <col min="23" max="23" width="28.83203125" style="69" bestFit="1" customWidth="1"/>
    <col min="24" max="24" width="8" style="69" bestFit="1" customWidth="1"/>
    <col min="25" max="25" width="22.6640625" style="69" bestFit="1" customWidth="1"/>
    <col min="26" max="26" width="4.83203125" style="69" bestFit="1" customWidth="1"/>
    <col min="27" max="27" width="24.33203125" style="69" hidden="1" customWidth="1"/>
    <col min="28" max="28" width="7.33203125" style="69" hidden="1" customWidth="1"/>
    <col min="29" max="29" width="19.6640625" style="69" bestFit="1" customWidth="1"/>
    <col min="30" max="30" width="4.1640625" style="69" bestFit="1" customWidth="1"/>
    <col min="31" max="31" width="15.33203125" style="69" bestFit="1" customWidth="1"/>
    <col min="32" max="32" width="39.6640625" style="69" bestFit="1" customWidth="1"/>
    <col min="33" max="33" width="35.6640625" style="69" bestFit="1" customWidth="1"/>
    <col min="34" max="34" width="4.83203125" style="69" bestFit="1" customWidth="1"/>
    <col min="35" max="35" width="24.1640625" style="69" bestFit="1" customWidth="1"/>
    <col min="36" max="36" width="8.6640625" style="69" bestFit="1" customWidth="1"/>
    <col min="37" max="37" width="26" style="69" bestFit="1" customWidth="1"/>
    <col min="38" max="38" width="4.6640625" style="69" bestFit="1" customWidth="1"/>
    <col min="39" max="39" width="35.6640625" style="69" bestFit="1" customWidth="1"/>
    <col min="40" max="40" width="33.33203125" style="69" bestFit="1" customWidth="1"/>
    <col min="41" max="41" width="22.6640625" style="69" bestFit="1" customWidth="1"/>
    <col min="42" max="42" width="5.1640625" style="69" bestFit="1" customWidth="1"/>
    <col min="43" max="43" width="16.6640625" style="69" bestFit="1" customWidth="1"/>
    <col min="44" max="44" width="93.33203125" style="69" bestFit="1" customWidth="1"/>
    <col min="45" max="45" width="21" style="69" bestFit="1" customWidth="1"/>
    <col min="46" max="46" width="5.5" style="69" bestFit="1" customWidth="1"/>
    <col min="47" max="47" width="14.83203125" style="69" bestFit="1" customWidth="1"/>
    <col min="48" max="48" width="28.6640625" style="69" bestFit="1" customWidth="1"/>
    <col min="49" max="49" width="22.6640625" style="69" bestFit="1" customWidth="1"/>
    <col min="50" max="50" width="4.83203125" style="69" bestFit="1" customWidth="1"/>
    <col min="51" max="51" width="15.6640625" style="69" bestFit="1" customWidth="1"/>
    <col min="52" max="53" width="13.1640625" style="69" bestFit="1" customWidth="1"/>
    <col min="54" max="55" width="14.83203125" style="69" bestFit="1" customWidth="1"/>
    <col min="56" max="57" width="22.6640625" style="69" bestFit="1" customWidth="1"/>
    <col min="58" max="59" width="15.6640625" style="69" bestFit="1" customWidth="1"/>
    <col min="60" max="61" width="13.1640625" style="69" bestFit="1" customWidth="1"/>
    <col min="62" max="63" width="14.83203125" style="69" bestFit="1" customWidth="1"/>
    <col min="64" max="65" width="22.6640625" style="69" bestFit="1" customWidth="1"/>
    <col min="66" max="66" width="10" style="69"/>
    <col min="67" max="67" width="33.6640625" style="69" bestFit="1" customWidth="1"/>
    <col min="68" max="16384" width="10" style="69"/>
  </cols>
  <sheetData>
    <row r="1" spans="1:8" s="68" customFormat="1">
      <c r="A1" s="67" t="s">
        <v>659</v>
      </c>
      <c r="B1" s="67" t="s">
        <v>656</v>
      </c>
      <c r="C1" s="67" t="s">
        <v>657</v>
      </c>
      <c r="D1" s="67" t="s">
        <v>658</v>
      </c>
      <c r="E1" s="67" t="s">
        <v>3</v>
      </c>
      <c r="F1" s="67" t="s">
        <v>4</v>
      </c>
      <c r="G1" s="67" t="s">
        <v>5</v>
      </c>
      <c r="H1" s="67" t="s">
        <v>660</v>
      </c>
    </row>
    <row r="2" spans="1:8">
      <c r="A2" s="167" t="s">
        <v>655</v>
      </c>
      <c r="B2" s="167" t="s">
        <v>6</v>
      </c>
      <c r="C2" s="168" t="s">
        <v>7</v>
      </c>
      <c r="D2" s="168"/>
      <c r="E2" s="168"/>
      <c r="F2" s="168"/>
      <c r="G2" s="168"/>
      <c r="H2" s="168" t="s">
        <v>8</v>
      </c>
    </row>
    <row r="3" spans="1:8">
      <c r="A3" s="167" t="s">
        <v>655</v>
      </c>
      <c r="B3" s="167" t="s">
        <v>338</v>
      </c>
      <c r="C3" s="168" t="s">
        <v>7</v>
      </c>
      <c r="D3" s="168"/>
      <c r="E3" s="168"/>
      <c r="F3" s="168"/>
      <c r="G3" s="168"/>
      <c r="H3" s="168" t="s">
        <v>8</v>
      </c>
    </row>
    <row r="4" spans="1:8">
      <c r="A4" s="167" t="s">
        <v>655</v>
      </c>
      <c r="B4" s="167" t="s">
        <v>9</v>
      </c>
      <c r="C4" s="183" t="s">
        <v>339</v>
      </c>
      <c r="D4" s="168"/>
      <c r="E4" s="168"/>
      <c r="F4" s="168"/>
      <c r="G4" s="168"/>
      <c r="H4" s="168" t="s">
        <v>8</v>
      </c>
    </row>
    <row r="5" spans="1:8">
      <c r="A5" s="167" t="s">
        <v>655</v>
      </c>
      <c r="B5" s="167" t="s">
        <v>10</v>
      </c>
      <c r="C5" s="168" t="s">
        <v>11</v>
      </c>
      <c r="D5" s="168"/>
      <c r="E5" s="168"/>
      <c r="F5" s="168"/>
      <c r="G5" s="168"/>
      <c r="H5" s="168" t="s">
        <v>8</v>
      </c>
    </row>
    <row r="6" spans="1:8">
      <c r="A6" s="167" t="s">
        <v>655</v>
      </c>
      <c r="B6" s="167" t="s">
        <v>12</v>
      </c>
      <c r="C6" s="184" t="s">
        <v>792</v>
      </c>
      <c r="D6" s="168"/>
      <c r="E6" s="168"/>
      <c r="F6" s="168"/>
      <c r="G6" s="168"/>
      <c r="H6" s="168" t="s">
        <v>8</v>
      </c>
    </row>
    <row r="7" spans="1:8">
      <c r="A7" s="167" t="s">
        <v>655</v>
      </c>
      <c r="B7" s="167" t="s">
        <v>13</v>
      </c>
      <c r="C7" s="167" t="s">
        <v>7</v>
      </c>
      <c r="D7" s="168"/>
      <c r="E7" s="168"/>
      <c r="F7" s="168"/>
      <c r="G7" s="168"/>
      <c r="H7" s="168" t="s">
        <v>8</v>
      </c>
    </row>
    <row r="8" spans="1:8">
      <c r="A8" s="186" t="s">
        <v>655</v>
      </c>
      <c r="B8" s="186" t="s">
        <v>14</v>
      </c>
      <c r="C8" s="187" t="s">
        <v>737</v>
      </c>
      <c r="D8" s="188" t="s">
        <v>1891</v>
      </c>
      <c r="E8" s="188">
        <v>82</v>
      </c>
      <c r="F8" s="188"/>
      <c r="G8" s="186"/>
      <c r="H8" s="188" t="s">
        <v>746</v>
      </c>
    </row>
    <row r="9" spans="1:8">
      <c r="A9" s="167" t="s">
        <v>655</v>
      </c>
      <c r="B9" s="167" t="s">
        <v>15</v>
      </c>
      <c r="C9" s="185">
        <v>44717</v>
      </c>
      <c r="D9" s="168"/>
      <c r="E9" s="168"/>
      <c r="F9" s="168"/>
      <c r="G9" s="168"/>
      <c r="H9" s="168" t="s">
        <v>8</v>
      </c>
    </row>
    <row r="10" spans="1:8">
      <c r="A10" s="167" t="s">
        <v>655</v>
      </c>
      <c r="B10" s="167" t="s">
        <v>16</v>
      </c>
      <c r="C10" s="168" t="s">
        <v>17</v>
      </c>
      <c r="D10" s="168"/>
      <c r="E10" s="168"/>
      <c r="F10" s="168"/>
      <c r="G10" s="168"/>
      <c r="H10" s="168" t="s">
        <v>8</v>
      </c>
    </row>
    <row r="11" spans="1:8">
      <c r="A11" s="69" t="s">
        <v>787</v>
      </c>
      <c r="B11" s="69" t="s">
        <v>761</v>
      </c>
      <c r="C11" s="68">
        <v>1</v>
      </c>
      <c r="G11" s="71">
        <v>44848.641886574071</v>
      </c>
    </row>
    <row r="12" spans="1:8">
      <c r="A12" s="69" t="s">
        <v>787</v>
      </c>
      <c r="B12" s="69" t="s">
        <v>760</v>
      </c>
      <c r="C12" s="68">
        <v>1</v>
      </c>
    </row>
    <row r="13" spans="1:8">
      <c r="A13" s="69" t="s">
        <v>787</v>
      </c>
      <c r="B13" s="69" t="s">
        <v>697</v>
      </c>
      <c r="C13" s="68">
        <v>1</v>
      </c>
      <c r="G13" s="71">
        <v>44848.641886574071</v>
      </c>
    </row>
    <row r="14" spans="1:8">
      <c r="A14" s="69" t="s">
        <v>787</v>
      </c>
      <c r="B14" s="69" t="s">
        <v>698</v>
      </c>
      <c r="C14" s="68">
        <v>0</v>
      </c>
      <c r="G14" s="71">
        <v>44848.641886574071</v>
      </c>
    </row>
    <row r="15" spans="1:8">
      <c r="A15" s="69" t="s">
        <v>787</v>
      </c>
      <c r="B15" s="69" t="s">
        <v>696</v>
      </c>
      <c r="C15" s="68">
        <v>1</v>
      </c>
      <c r="G15" s="71">
        <v>44848.641886574071</v>
      </c>
    </row>
    <row r="16" spans="1:8">
      <c r="A16" s="69" t="s">
        <v>787</v>
      </c>
      <c r="B16" s="69" t="s">
        <v>748</v>
      </c>
      <c r="C16" s="68">
        <v>1</v>
      </c>
      <c r="G16" s="71">
        <v>44848.641886574071</v>
      </c>
    </row>
    <row r="17" spans="1:7">
      <c r="A17" s="69" t="s">
        <v>787</v>
      </c>
      <c r="B17" s="69" t="s">
        <v>755</v>
      </c>
      <c r="C17" s="68">
        <v>2</v>
      </c>
      <c r="G17" s="71">
        <v>44848.641886574071</v>
      </c>
    </row>
    <row r="18" spans="1:7">
      <c r="A18" s="69" t="s">
        <v>787</v>
      </c>
      <c r="B18" s="69" t="s">
        <v>756</v>
      </c>
      <c r="C18" s="68">
        <v>1</v>
      </c>
      <c r="G18" s="71">
        <v>44848.641886574071</v>
      </c>
    </row>
    <row r="19" spans="1:7">
      <c r="A19" s="69" t="s">
        <v>787</v>
      </c>
      <c r="B19" s="69" t="s">
        <v>754</v>
      </c>
      <c r="C19" s="70" t="s">
        <v>1799</v>
      </c>
      <c r="G19" s="71">
        <v>44848.641886574071</v>
      </c>
    </row>
    <row r="20" spans="1:7">
      <c r="A20" s="69" t="s">
        <v>787</v>
      </c>
      <c r="B20" s="69" t="s">
        <v>699</v>
      </c>
      <c r="C20" s="68">
        <v>0</v>
      </c>
      <c r="G20" s="71">
        <v>44848.641886574071</v>
      </c>
    </row>
    <row r="21" spans="1:7">
      <c r="A21" s="69" t="s">
        <v>787</v>
      </c>
      <c r="B21" s="69" t="s">
        <v>753</v>
      </c>
      <c r="C21" s="68">
        <v>1</v>
      </c>
      <c r="G21" s="71">
        <v>44848.641886574071</v>
      </c>
    </row>
    <row r="22" spans="1:7">
      <c r="A22" s="69" t="s">
        <v>787</v>
      </c>
      <c r="B22" s="69" t="s">
        <v>757</v>
      </c>
      <c r="C22" s="68">
        <v>1</v>
      </c>
      <c r="G22" s="71">
        <v>44848.641886574071</v>
      </c>
    </row>
    <row r="23" spans="1:7">
      <c r="A23" s="69" t="s">
        <v>787</v>
      </c>
      <c r="B23" s="69" t="s">
        <v>701</v>
      </c>
      <c r="C23" s="68">
        <v>1</v>
      </c>
      <c r="G23" s="71">
        <v>44848.641886574071</v>
      </c>
    </row>
    <row r="24" spans="1:7">
      <c r="A24" s="69" t="s">
        <v>787</v>
      </c>
      <c r="B24" s="69" t="s">
        <v>750</v>
      </c>
      <c r="C24" s="70">
        <v>44957</v>
      </c>
      <c r="G24" s="71">
        <v>44872.584780092591</v>
      </c>
    </row>
    <row r="25" spans="1:7">
      <c r="A25" s="69" t="s">
        <v>787</v>
      </c>
      <c r="B25" s="69" t="s">
        <v>747</v>
      </c>
      <c r="C25" s="68" t="s">
        <v>1494</v>
      </c>
      <c r="G25" s="71">
        <v>44848.641886574071</v>
      </c>
    </row>
    <row r="26" spans="1:7">
      <c r="A26" s="69" t="s">
        <v>787</v>
      </c>
      <c r="B26" s="69" t="s">
        <v>749</v>
      </c>
      <c r="C26" s="70">
        <v>44809</v>
      </c>
      <c r="G26" s="71">
        <v>44872.584780092591</v>
      </c>
    </row>
    <row r="27" spans="1:7">
      <c r="A27" s="69" t="s">
        <v>787</v>
      </c>
      <c r="B27" s="69" t="s">
        <v>751</v>
      </c>
      <c r="C27" s="68" t="s">
        <v>1892</v>
      </c>
      <c r="G27" s="71">
        <v>44872.381805555553</v>
      </c>
    </row>
    <row r="28" spans="1:7">
      <c r="A28" s="69" t="s">
        <v>787</v>
      </c>
      <c r="B28" s="69" t="s">
        <v>752</v>
      </c>
      <c r="C28" s="68">
        <v>1</v>
      </c>
      <c r="G28" s="71">
        <v>44848.641886574071</v>
      </c>
    </row>
    <row r="29" spans="1:7">
      <c r="A29" s="69" t="s">
        <v>787</v>
      </c>
      <c r="B29" s="69" t="s">
        <v>758</v>
      </c>
      <c r="C29" s="68">
        <v>20</v>
      </c>
      <c r="G29" s="71">
        <v>44848.641886574071</v>
      </c>
    </row>
    <row r="30" spans="1:7">
      <c r="A30" s="69" t="s">
        <v>787</v>
      </c>
      <c r="B30" s="69" t="s">
        <v>759</v>
      </c>
      <c r="C30" s="68">
        <v>10</v>
      </c>
      <c r="G30" s="71">
        <v>44848.641886574071</v>
      </c>
    </row>
    <row r="31" spans="1:7">
      <c r="A31" s="69" t="s">
        <v>1364</v>
      </c>
      <c r="B31" s="69" t="s">
        <v>1365</v>
      </c>
      <c r="C31" s="68">
        <v>-4105</v>
      </c>
      <c r="F31" s="71"/>
      <c r="G31" s="71">
        <v>44872.584780092591</v>
      </c>
    </row>
    <row r="32" spans="1:7">
      <c r="A32" s="69" t="s">
        <v>788</v>
      </c>
      <c r="B32" s="69" t="s">
        <v>769</v>
      </c>
      <c r="C32" s="68">
        <v>1</v>
      </c>
      <c r="G32" s="71">
        <v>44848.641886574071</v>
      </c>
    </row>
    <row r="33" spans="1:7">
      <c r="A33" s="69" t="s">
        <v>788</v>
      </c>
      <c r="B33" s="69" t="s">
        <v>772</v>
      </c>
      <c r="C33" s="68">
        <v>0</v>
      </c>
    </row>
    <row r="34" spans="1:7">
      <c r="A34" s="69" t="s">
        <v>788</v>
      </c>
      <c r="B34" s="69" t="s">
        <v>702</v>
      </c>
      <c r="C34" s="68">
        <v>1</v>
      </c>
      <c r="G34" s="71">
        <v>44848.641886574071</v>
      </c>
    </row>
    <row r="35" spans="1:7">
      <c r="A35" s="69" t="s">
        <v>788</v>
      </c>
      <c r="B35" s="69" t="s">
        <v>704</v>
      </c>
      <c r="C35" s="68">
        <v>1</v>
      </c>
      <c r="G35" s="71">
        <v>44848.641886574071</v>
      </c>
    </row>
    <row r="36" spans="1:7">
      <c r="A36" s="69" t="s">
        <v>788</v>
      </c>
      <c r="B36" s="69" t="s">
        <v>703</v>
      </c>
      <c r="C36" s="68">
        <v>1</v>
      </c>
      <c r="G36" s="71">
        <v>44848.641886574071</v>
      </c>
    </row>
    <row r="37" spans="1:7">
      <c r="A37" s="69" t="s">
        <v>788</v>
      </c>
      <c r="B37" s="69" t="s">
        <v>763</v>
      </c>
      <c r="C37" s="68">
        <v>1</v>
      </c>
      <c r="G37" s="71">
        <v>44848.641886574071</v>
      </c>
    </row>
    <row r="38" spans="1:7">
      <c r="A38" s="69" t="s">
        <v>788</v>
      </c>
      <c r="B38" s="69" t="s">
        <v>766</v>
      </c>
      <c r="C38" s="68">
        <v>1</v>
      </c>
      <c r="G38" s="71">
        <v>44848.641886574071</v>
      </c>
    </row>
    <row r="39" spans="1:7">
      <c r="A39" s="69" t="s">
        <v>788</v>
      </c>
      <c r="B39" s="69" t="s">
        <v>777</v>
      </c>
      <c r="C39" s="68">
        <v>2</v>
      </c>
      <c r="G39" s="71">
        <v>44848.641886574071</v>
      </c>
    </row>
    <row r="40" spans="1:7">
      <c r="A40" s="69" t="s">
        <v>788</v>
      </c>
      <c r="B40" s="69" t="s">
        <v>767</v>
      </c>
      <c r="C40" s="68">
        <v>0.7</v>
      </c>
    </row>
    <row r="41" spans="1:7">
      <c r="A41" s="69" t="s">
        <v>788</v>
      </c>
      <c r="B41" s="69" t="s">
        <v>776</v>
      </c>
      <c r="C41" s="68">
        <v>1</v>
      </c>
      <c r="G41" s="71">
        <v>44848.641886574071</v>
      </c>
    </row>
    <row r="42" spans="1:7">
      <c r="A42" s="69" t="s">
        <v>788</v>
      </c>
      <c r="B42" s="69" t="s">
        <v>770</v>
      </c>
      <c r="C42" s="68">
        <v>1</v>
      </c>
      <c r="G42" s="71">
        <v>44848.641886574071</v>
      </c>
    </row>
    <row r="43" spans="1:7">
      <c r="A43" s="69" t="s">
        <v>788</v>
      </c>
      <c r="B43" s="69" t="s">
        <v>780</v>
      </c>
      <c r="C43" s="68">
        <v>-4131</v>
      </c>
      <c r="G43" s="71">
        <v>44848.641886574071</v>
      </c>
    </row>
    <row r="44" spans="1:7">
      <c r="A44" s="69" t="s">
        <v>788</v>
      </c>
      <c r="B44" s="69" t="s">
        <v>771</v>
      </c>
      <c r="C44" s="68">
        <v>30</v>
      </c>
      <c r="G44" s="71">
        <v>44848.641886574071</v>
      </c>
    </row>
    <row r="45" spans="1:7">
      <c r="A45" s="69" t="s">
        <v>788</v>
      </c>
      <c r="B45" s="69" t="s">
        <v>773</v>
      </c>
      <c r="C45" s="68">
        <v>1</v>
      </c>
      <c r="G45" s="71">
        <v>44848.641886574071</v>
      </c>
    </row>
    <row r="46" spans="1:7">
      <c r="A46" s="69" t="s">
        <v>788</v>
      </c>
      <c r="B46" s="69" t="s">
        <v>774</v>
      </c>
      <c r="C46" s="68">
        <v>1</v>
      </c>
      <c r="G46" s="71">
        <v>44848.641886574071</v>
      </c>
    </row>
    <row r="47" spans="1:7">
      <c r="A47" s="69" t="s">
        <v>788</v>
      </c>
      <c r="B47" s="69" t="s">
        <v>775</v>
      </c>
      <c r="C47" s="68">
        <v>1</v>
      </c>
      <c r="G47" s="71">
        <v>44848.641886574071</v>
      </c>
    </row>
    <row r="48" spans="1:7">
      <c r="A48" s="69" t="s">
        <v>788</v>
      </c>
      <c r="B48" s="69" t="s">
        <v>764</v>
      </c>
      <c r="C48" s="68">
        <v>1</v>
      </c>
    </row>
    <row r="49" spans="1:7">
      <c r="A49" s="69" t="s">
        <v>788</v>
      </c>
      <c r="B49" s="69" t="s">
        <v>765</v>
      </c>
      <c r="C49" s="68">
        <v>0</v>
      </c>
    </row>
    <row r="50" spans="1:7">
      <c r="A50" s="69" t="s">
        <v>788</v>
      </c>
      <c r="B50" s="69" t="s">
        <v>768</v>
      </c>
      <c r="C50" s="68">
        <v>2</v>
      </c>
      <c r="G50" s="71">
        <v>44848.641886574071</v>
      </c>
    </row>
    <row r="51" spans="1:7">
      <c r="A51" s="69" t="s">
        <v>788</v>
      </c>
      <c r="B51" s="69" t="s">
        <v>779</v>
      </c>
      <c r="C51" s="68" t="s">
        <v>762</v>
      </c>
    </row>
    <row r="52" spans="1:7">
      <c r="A52" s="69" t="s">
        <v>788</v>
      </c>
      <c r="B52" s="69" t="s">
        <v>700</v>
      </c>
      <c r="C52" s="68">
        <v>400</v>
      </c>
      <c r="G52" s="71">
        <v>44848.641886574071</v>
      </c>
    </row>
    <row r="53" spans="1:7">
      <c r="A53" s="69" t="s">
        <v>788</v>
      </c>
      <c r="B53" s="69" t="s">
        <v>778</v>
      </c>
      <c r="C53" s="68">
        <v>9</v>
      </c>
    </row>
    <row r="54" spans="1:7">
      <c r="A54" s="69" t="s">
        <v>789</v>
      </c>
      <c r="B54" s="69" t="s">
        <v>663</v>
      </c>
      <c r="C54" s="68">
        <v>1</v>
      </c>
      <c r="G54" s="71">
        <v>44848.641886574071</v>
      </c>
    </row>
    <row r="55" spans="1:7">
      <c r="A55" s="69" t="s">
        <v>789</v>
      </c>
      <c r="B55" s="69" t="s">
        <v>781</v>
      </c>
      <c r="C55" s="68" t="s">
        <v>1490</v>
      </c>
      <c r="G55" s="71">
        <v>44848.641886574071</v>
      </c>
    </row>
    <row r="56" spans="1:7">
      <c r="A56" s="69" t="s">
        <v>789</v>
      </c>
      <c r="B56" s="69" t="s">
        <v>662</v>
      </c>
      <c r="C56" s="68" t="s">
        <v>705</v>
      </c>
      <c r="G56" s="71">
        <v>44717.947500000002</v>
      </c>
    </row>
    <row r="57" spans="1:7">
      <c r="A57" s="69" t="s">
        <v>789</v>
      </c>
      <c r="B57" s="69" t="s">
        <v>661</v>
      </c>
      <c r="C57" s="68" t="s">
        <v>705</v>
      </c>
      <c r="G57" s="71">
        <v>44848.641886574071</v>
      </c>
    </row>
    <row r="58" spans="1:7">
      <c r="A58" s="69" t="s">
        <v>735</v>
      </c>
      <c r="B58" s="69" t="s">
        <v>784</v>
      </c>
      <c r="C58" s="68">
        <v>82</v>
      </c>
      <c r="G58" s="71">
        <v>44848.641886574071</v>
      </c>
    </row>
    <row r="59" spans="1:7">
      <c r="A59" s="69" t="s">
        <v>735</v>
      </c>
      <c r="B59" s="69" t="s">
        <v>783</v>
      </c>
      <c r="C59" s="68">
        <v>1</v>
      </c>
      <c r="G59" s="71">
        <v>44848.641886574071</v>
      </c>
    </row>
    <row r="60" spans="1:7">
      <c r="A60" s="69" t="s">
        <v>735</v>
      </c>
      <c r="B60" s="69" t="s">
        <v>782</v>
      </c>
      <c r="C60" s="68">
        <v>82</v>
      </c>
      <c r="G60" s="71">
        <v>44717.85429398148</v>
      </c>
    </row>
    <row r="61" spans="1:7">
      <c r="A61" s="69" t="s">
        <v>735</v>
      </c>
      <c r="B61" s="69" t="s">
        <v>785</v>
      </c>
      <c r="C61" s="68" t="s">
        <v>615</v>
      </c>
      <c r="G61" s="71">
        <v>44848.641886574071</v>
      </c>
    </row>
    <row r="62" spans="1:7">
      <c r="A62" s="69" t="s">
        <v>790</v>
      </c>
      <c r="B62" s="69" t="s">
        <v>690</v>
      </c>
      <c r="C62" s="68" t="b">
        <v>0</v>
      </c>
      <c r="G62" s="71">
        <v>44848.641886574071</v>
      </c>
    </row>
    <row r="63" spans="1:7">
      <c r="A63" s="69" t="s">
        <v>790</v>
      </c>
      <c r="B63" s="69" t="s">
        <v>691</v>
      </c>
      <c r="C63" s="68" t="b">
        <v>0</v>
      </c>
      <c r="G63" s="71">
        <v>44848.641886574071</v>
      </c>
    </row>
    <row r="64" spans="1:7">
      <c r="A64" s="69" t="s">
        <v>790</v>
      </c>
      <c r="B64" s="69" t="s">
        <v>692</v>
      </c>
      <c r="C64" s="68" t="b">
        <v>1</v>
      </c>
      <c r="G64" s="71">
        <v>44848.641886574071</v>
      </c>
    </row>
    <row r="65" spans="1:7">
      <c r="A65" s="69" t="s">
        <v>790</v>
      </c>
      <c r="B65" s="69" t="s">
        <v>674</v>
      </c>
      <c r="C65" s="68" t="b">
        <v>1</v>
      </c>
      <c r="G65" s="71">
        <v>44848.641886574071</v>
      </c>
    </row>
    <row r="66" spans="1:7">
      <c r="A66" s="69" t="s">
        <v>790</v>
      </c>
      <c r="B66" s="69" t="s">
        <v>675</v>
      </c>
      <c r="C66" s="68" t="b">
        <v>1</v>
      </c>
      <c r="G66" s="71">
        <v>44848.641886574071</v>
      </c>
    </row>
    <row r="67" spans="1:7">
      <c r="A67" s="69" t="s">
        <v>790</v>
      </c>
      <c r="B67" s="69" t="s">
        <v>676</v>
      </c>
      <c r="C67" s="68" t="b">
        <v>1</v>
      </c>
      <c r="G67" s="71">
        <v>44848.641886574071</v>
      </c>
    </row>
    <row r="68" spans="1:7">
      <c r="A68" s="69" t="s">
        <v>790</v>
      </c>
      <c r="B68" s="69" t="s">
        <v>677</v>
      </c>
      <c r="C68" s="68" t="b">
        <v>1</v>
      </c>
      <c r="G68" s="71">
        <v>44848.641886574071</v>
      </c>
    </row>
    <row r="69" spans="1:7">
      <c r="A69" s="69" t="s">
        <v>790</v>
      </c>
      <c r="B69" s="69" t="s">
        <v>678</v>
      </c>
      <c r="G69" s="71">
        <v>44848.641886574071</v>
      </c>
    </row>
    <row r="70" spans="1:7">
      <c r="A70" s="69" t="s">
        <v>790</v>
      </c>
      <c r="B70" s="69" t="s">
        <v>693</v>
      </c>
      <c r="C70" s="68" t="s">
        <v>715</v>
      </c>
      <c r="G70" s="71">
        <v>44848.641886574071</v>
      </c>
    </row>
    <row r="71" spans="1:7">
      <c r="A71" s="69" t="s">
        <v>790</v>
      </c>
      <c r="B71" s="69" t="s">
        <v>695</v>
      </c>
      <c r="C71" s="68" t="s">
        <v>717</v>
      </c>
      <c r="G71" s="71">
        <v>44848.641886574071</v>
      </c>
    </row>
    <row r="72" spans="1:7">
      <c r="A72" s="69" t="s">
        <v>790</v>
      </c>
      <c r="B72" s="69" t="s">
        <v>694</v>
      </c>
      <c r="C72" s="68" t="s">
        <v>716</v>
      </c>
      <c r="G72" s="71">
        <v>44848.641886574071</v>
      </c>
    </row>
    <row r="73" spans="1:7">
      <c r="A73" s="69" t="s">
        <v>790</v>
      </c>
      <c r="B73" s="69" t="s">
        <v>680</v>
      </c>
      <c r="C73" s="68" t="s">
        <v>712</v>
      </c>
      <c r="G73" s="71">
        <v>44848.641886574071</v>
      </c>
    </row>
    <row r="74" spans="1:7">
      <c r="A74" s="69" t="s">
        <v>790</v>
      </c>
      <c r="B74" s="69" t="s">
        <v>683</v>
      </c>
      <c r="C74" s="68" t="s">
        <v>714</v>
      </c>
      <c r="G74" s="71">
        <v>44848.641886574071</v>
      </c>
    </row>
    <row r="75" spans="1:7">
      <c r="A75" s="69" t="s">
        <v>790</v>
      </c>
      <c r="B75" s="69" t="s">
        <v>682</v>
      </c>
      <c r="C75" s="68" t="s">
        <v>713</v>
      </c>
      <c r="G75" s="71">
        <v>44848.641886574071</v>
      </c>
    </row>
    <row r="76" spans="1:7">
      <c r="A76" s="69" t="s">
        <v>790</v>
      </c>
      <c r="B76" s="69" t="s">
        <v>681</v>
      </c>
      <c r="C76" s="68" t="s">
        <v>1470</v>
      </c>
      <c r="G76" s="71">
        <v>44848.641886574071</v>
      </c>
    </row>
    <row r="77" spans="1:7">
      <c r="A77" s="69" t="s">
        <v>790</v>
      </c>
      <c r="B77" s="69" t="s">
        <v>679</v>
      </c>
      <c r="G77" s="71">
        <v>44848.641886574071</v>
      </c>
    </row>
    <row r="78" spans="1:7">
      <c r="A78" s="69" t="s">
        <v>790</v>
      </c>
      <c r="B78" s="69" t="s">
        <v>684</v>
      </c>
      <c r="C78" s="68" t="s">
        <v>1468</v>
      </c>
      <c r="G78" s="71">
        <v>44848.641886574071</v>
      </c>
    </row>
    <row r="79" spans="1:7">
      <c r="A79" s="69" t="s">
        <v>790</v>
      </c>
      <c r="B79" s="69" t="s">
        <v>689</v>
      </c>
      <c r="C79" s="68" t="s">
        <v>1492</v>
      </c>
      <c r="G79" s="71">
        <v>44848.641886574071</v>
      </c>
    </row>
    <row r="80" spans="1:7">
      <c r="A80" s="69" t="s">
        <v>790</v>
      </c>
      <c r="B80" s="69" t="s">
        <v>688</v>
      </c>
      <c r="C80" s="68" t="s">
        <v>1469</v>
      </c>
      <c r="G80" s="71">
        <v>44848.641886574071</v>
      </c>
    </row>
    <row r="81" spans="1:7">
      <c r="A81" s="69" t="s">
        <v>790</v>
      </c>
      <c r="B81" s="69" t="s">
        <v>669</v>
      </c>
      <c r="C81" s="68" t="s">
        <v>709</v>
      </c>
      <c r="G81" s="71">
        <v>44848.641886574071</v>
      </c>
    </row>
    <row r="82" spans="1:7">
      <c r="A82" s="69" t="s">
        <v>790</v>
      </c>
      <c r="B82" s="69" t="s">
        <v>673</v>
      </c>
      <c r="C82" s="68" t="s">
        <v>711</v>
      </c>
      <c r="G82" s="71">
        <v>44848.641886574071</v>
      </c>
    </row>
    <row r="83" spans="1:7">
      <c r="A83" s="69" t="s">
        <v>790</v>
      </c>
      <c r="B83" s="69" t="s">
        <v>672</v>
      </c>
      <c r="C83" s="68" t="s">
        <v>710</v>
      </c>
      <c r="G83" s="71">
        <v>44848.641886574071</v>
      </c>
    </row>
    <row r="84" spans="1:7">
      <c r="A84" s="69" t="s">
        <v>790</v>
      </c>
      <c r="B84" s="69" t="s">
        <v>671</v>
      </c>
      <c r="C84" s="68" t="s">
        <v>1462</v>
      </c>
      <c r="G84" s="71">
        <v>44848.641886574071</v>
      </c>
    </row>
    <row r="85" spans="1:7">
      <c r="A85" s="69" t="s">
        <v>790</v>
      </c>
      <c r="B85" s="69" t="s">
        <v>670</v>
      </c>
      <c r="G85" s="71">
        <v>44848.641886574071</v>
      </c>
    </row>
    <row r="86" spans="1:7">
      <c r="A86" s="69" t="s">
        <v>790</v>
      </c>
      <c r="B86" s="69" t="s">
        <v>685</v>
      </c>
      <c r="C86" s="68" t="s">
        <v>1491</v>
      </c>
      <c r="G86" s="71">
        <v>44848.641886574071</v>
      </c>
    </row>
    <row r="87" spans="1:7">
      <c r="A87" s="69" t="s">
        <v>790</v>
      </c>
      <c r="B87" s="69" t="s">
        <v>686</v>
      </c>
      <c r="C87" s="68" t="s">
        <v>1491</v>
      </c>
      <c r="G87" s="71">
        <v>44848.641886574071</v>
      </c>
    </row>
    <row r="88" spans="1:7">
      <c r="A88" s="69" t="s">
        <v>790</v>
      </c>
      <c r="B88" s="69" t="s">
        <v>687</v>
      </c>
      <c r="C88" s="68" t="s">
        <v>1491</v>
      </c>
      <c r="G88" s="71">
        <v>44848.641886574071</v>
      </c>
    </row>
    <row r="89" spans="1:7">
      <c r="A89" s="69" t="s">
        <v>790</v>
      </c>
      <c r="B89" s="69" t="s">
        <v>664</v>
      </c>
      <c r="C89" s="68" t="s">
        <v>706</v>
      </c>
      <c r="G89" s="71">
        <v>44848.641886574071</v>
      </c>
    </row>
    <row r="90" spans="1:7">
      <c r="A90" s="69" t="s">
        <v>790</v>
      </c>
      <c r="B90" s="69" t="s">
        <v>665</v>
      </c>
      <c r="C90" s="68" t="s">
        <v>707</v>
      </c>
      <c r="G90" s="71">
        <v>44848.641886574071</v>
      </c>
    </row>
    <row r="91" spans="1:7">
      <c r="A91" s="69" t="s">
        <v>790</v>
      </c>
      <c r="B91" s="69" t="s">
        <v>666</v>
      </c>
      <c r="C91" s="68" t="s">
        <v>708</v>
      </c>
      <c r="G91" s="71">
        <v>44848.641886574071</v>
      </c>
    </row>
    <row r="92" spans="1:7">
      <c r="A92" s="69" t="s">
        <v>790</v>
      </c>
      <c r="B92" s="69" t="s">
        <v>667</v>
      </c>
      <c r="C92" s="68" t="s">
        <v>1366</v>
      </c>
      <c r="G92" s="71">
        <v>44848.641886574071</v>
      </c>
    </row>
    <row r="93" spans="1:7">
      <c r="A93" s="69" t="s">
        <v>790</v>
      </c>
      <c r="B93" s="69" t="s">
        <v>668</v>
      </c>
      <c r="G93" s="71">
        <v>44848.641886574071</v>
      </c>
    </row>
    <row r="94" spans="1:7">
      <c r="A94" s="69" t="s">
        <v>718</v>
      </c>
      <c r="B94" s="69" t="s">
        <v>723</v>
      </c>
      <c r="C94" s="68" t="b">
        <v>1</v>
      </c>
      <c r="F94" s="71"/>
      <c r="G94" s="71">
        <v>44717.850543981483</v>
      </c>
    </row>
    <row r="95" spans="1:7">
      <c r="A95" s="69" t="s">
        <v>718</v>
      </c>
      <c r="B95" s="69" t="s">
        <v>734</v>
      </c>
      <c r="C95" s="68" t="b">
        <v>1</v>
      </c>
      <c r="F95" s="71"/>
      <c r="G95" s="71">
        <v>44717.850543981483</v>
      </c>
    </row>
    <row r="96" spans="1:7">
      <c r="A96" s="69" t="s">
        <v>718</v>
      </c>
      <c r="B96" s="69" t="s">
        <v>733</v>
      </c>
      <c r="C96" s="68" t="b">
        <v>0</v>
      </c>
      <c r="F96" s="71"/>
      <c r="G96" s="71">
        <v>44717.850543981483</v>
      </c>
    </row>
    <row r="97" spans="1:7">
      <c r="A97" s="69" t="s">
        <v>718</v>
      </c>
      <c r="B97" s="69" t="s">
        <v>722</v>
      </c>
      <c r="C97" s="68" t="b">
        <v>0</v>
      </c>
      <c r="F97" s="71"/>
      <c r="G97" s="71">
        <v>44717.850543981483</v>
      </c>
    </row>
    <row r="98" spans="1:7">
      <c r="A98" s="69" t="s">
        <v>718</v>
      </c>
      <c r="B98" s="69" t="s">
        <v>732</v>
      </c>
      <c r="C98" s="68" t="b">
        <v>0</v>
      </c>
      <c r="F98" s="71"/>
      <c r="G98" s="71">
        <v>44717.850543981483</v>
      </c>
    </row>
    <row r="99" spans="1:7">
      <c r="A99" s="69" t="s">
        <v>718</v>
      </c>
      <c r="B99" s="69" t="s">
        <v>730</v>
      </c>
      <c r="C99" s="68" t="b">
        <v>1</v>
      </c>
      <c r="F99" s="71"/>
      <c r="G99" s="71">
        <v>44717.850543981483</v>
      </c>
    </row>
    <row r="100" spans="1:7">
      <c r="A100" s="69" t="s">
        <v>718</v>
      </c>
      <c r="B100" s="69" t="s">
        <v>731</v>
      </c>
      <c r="C100" s="68" t="b">
        <v>0</v>
      </c>
      <c r="F100" s="71"/>
      <c r="G100" s="71">
        <v>44717.850543981483</v>
      </c>
    </row>
    <row r="101" spans="1:7">
      <c r="A101" s="69" t="s">
        <v>718</v>
      </c>
      <c r="B101" s="69" t="s">
        <v>726</v>
      </c>
      <c r="C101" s="68" t="b">
        <v>0</v>
      </c>
      <c r="F101" s="71"/>
      <c r="G101" s="71">
        <v>44717.850543981483</v>
      </c>
    </row>
    <row r="102" spans="1:7">
      <c r="A102" s="69" t="s">
        <v>718</v>
      </c>
      <c r="B102" s="69" t="s">
        <v>721</v>
      </c>
      <c r="C102" s="68" t="b">
        <v>0</v>
      </c>
      <c r="F102" s="71"/>
      <c r="G102" s="71">
        <v>44717.850543981483</v>
      </c>
    </row>
    <row r="103" spans="1:7">
      <c r="A103" s="69" t="s">
        <v>718</v>
      </c>
      <c r="B103" s="69" t="s">
        <v>720</v>
      </c>
      <c r="C103" s="68" t="b">
        <v>0</v>
      </c>
      <c r="F103" s="71"/>
      <c r="G103" s="71">
        <v>44717.850543981483</v>
      </c>
    </row>
    <row r="104" spans="1:7">
      <c r="A104" s="69" t="s">
        <v>718</v>
      </c>
      <c r="B104" s="69" t="s">
        <v>719</v>
      </c>
      <c r="C104" s="68" t="b">
        <v>0</v>
      </c>
      <c r="F104" s="71"/>
      <c r="G104" s="71">
        <v>44717.850543981483</v>
      </c>
    </row>
    <row r="105" spans="1:7">
      <c r="A105" s="69" t="s">
        <v>718</v>
      </c>
      <c r="B105" s="69" t="s">
        <v>728</v>
      </c>
      <c r="C105" s="68">
        <v>0</v>
      </c>
      <c r="F105" s="71"/>
      <c r="G105" s="71">
        <v>44717.850543981483</v>
      </c>
    </row>
    <row r="106" spans="1:7">
      <c r="A106" s="69" t="s">
        <v>718</v>
      </c>
      <c r="B106" s="69" t="s">
        <v>727</v>
      </c>
      <c r="C106" s="68">
        <v>80</v>
      </c>
      <c r="F106" s="71"/>
      <c r="G106" s="71">
        <v>44717.850543981483</v>
      </c>
    </row>
    <row r="107" spans="1:7">
      <c r="A107" s="69" t="s">
        <v>718</v>
      </c>
      <c r="B107" s="69" t="s">
        <v>729</v>
      </c>
      <c r="F107" s="71"/>
      <c r="G107" s="71">
        <v>44717.850543981483</v>
      </c>
    </row>
    <row r="108" spans="1:7">
      <c r="A108" s="69" t="s">
        <v>718</v>
      </c>
      <c r="B108" s="69" t="s">
        <v>724</v>
      </c>
      <c r="C108" s="70">
        <v>44562</v>
      </c>
      <c r="F108" s="71"/>
      <c r="G108" s="71">
        <v>44717.850543981483</v>
      </c>
    </row>
    <row r="109" spans="1:7">
      <c r="A109" s="69" t="s">
        <v>718</v>
      </c>
      <c r="B109" s="69" t="s">
        <v>725</v>
      </c>
      <c r="C109" s="70">
        <v>44199</v>
      </c>
      <c r="F109" s="71"/>
      <c r="G109" s="71">
        <v>44717.850543981483</v>
      </c>
    </row>
  </sheetData>
  <sortState xmlns:xlrd2="http://schemas.microsoft.com/office/spreadsheetml/2017/richdata2" ref="A54:AB93">
    <sortCondition ref="A54:A93"/>
    <sortCondition ref="B54:B93"/>
  </sortState>
  <phoneticPr fontId="1" type="noConversion"/>
  <hyperlinks>
    <hyperlink ref="C6" r:id="rId1" xr:uid="{00000000-0004-0000-0700-000000000000}"/>
  </hyperlinks>
  <pageMargins left="0.7" right="0.7" top="0.75" bottom="0.75" header="0.3" footer="0.3"/>
  <pageSetup paperSize="9" orientation="portrait" r:id="rId2"/>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워크시트</vt:lpstr>
      </vt:variant>
      <vt:variant>
        <vt:i4>7</vt:i4>
      </vt:variant>
      <vt:variant>
        <vt:lpstr>이름 지정된 범위</vt:lpstr>
      </vt:variant>
      <vt:variant>
        <vt:i4>34</vt:i4>
      </vt:variant>
    </vt:vector>
  </HeadingPairs>
  <TitlesOfParts>
    <vt:vector size="41" baseType="lpstr">
      <vt:lpstr>Help</vt:lpstr>
      <vt:lpstr>Schedule</vt:lpstr>
      <vt:lpstr>Progress</vt:lpstr>
      <vt:lpstr>AnalysisReport</vt:lpstr>
      <vt:lpstr>Calendar</vt:lpstr>
      <vt:lpstr>TranslatedLanguages</vt:lpstr>
      <vt:lpstr>Workload</vt:lpstr>
      <vt:lpstr>ACTUAL_RATE</vt:lpstr>
      <vt:lpstr>ACTUAL_WORKLOAD</vt:lpstr>
      <vt:lpstr>ACTUAL_WORKLOAD2</vt:lpstr>
      <vt:lpstr>English_Name</vt:lpstr>
      <vt:lpstr>PLANNED_RATE</vt:lpstr>
      <vt:lpstr>PLANNED_WORKLOAD</vt:lpstr>
      <vt:lpstr>Schedule!Print_Area</vt:lpstr>
      <vt:lpstr>RATE_GAP</vt:lpstr>
      <vt:lpstr>Schedule!RNG_ACTUAL_END_DATE_COL_NAME</vt:lpstr>
      <vt:lpstr>Schedule!RNG_ACTUAL_RATE_COL_NAME</vt:lpstr>
      <vt:lpstr>Schedule!RNG_ACTUAL_START_DATE_COL_NAME</vt:lpstr>
      <vt:lpstr>Schedule!RNG_ACTUAL_TOTAL_DURATION_COL_NAME</vt:lpstr>
      <vt:lpstr>Schedule!RNG_ACTUAL_TOTAL_WORKLOAD_COL_NAME</vt:lpstr>
      <vt:lpstr>Schedule!RNG_CALENDAR_COL_NAME</vt:lpstr>
      <vt:lpstr>Schedule!RNG_DELIVERABLES_COL_NAME</vt:lpstr>
      <vt:lpstr>Schedule!RNG_END_DATE_COL_NAME</vt:lpstr>
      <vt:lpstr>Schedule!RNG_ETC_COL_NAME</vt:lpstr>
      <vt:lpstr>Schedule!RNG_GANTT_AREA_FIRST_COL_NAME</vt:lpstr>
      <vt:lpstr>Schedule!RNG_PLAN_DURATION_COL_NAME</vt:lpstr>
      <vt:lpstr>Schedule!RNG_PLAN_RATE_COL_NAME</vt:lpstr>
      <vt:lpstr>Schedule!RNG_PLAN_WORKLOAD_COL_NAME</vt:lpstr>
      <vt:lpstr>Schedule!RNG_RESOURCE_COL_NAME</vt:lpstr>
      <vt:lpstr>Schedule!RNG_RESOURCE_WEIGHT_COL_NAME</vt:lpstr>
      <vt:lpstr>Schedule!RNG_START_DATE_COL_NAME</vt:lpstr>
      <vt:lpstr>Schedule!RNG_TASK_FIRST_COL_NAME</vt:lpstr>
      <vt:lpstr>Schedule!RNG_TOTAL_DURATION_COL_NAME</vt:lpstr>
      <vt:lpstr>Schedule!RNG_TOTAL_WORKLOAD_COL_NAME</vt:lpstr>
      <vt:lpstr>Schedule!RNG_WBS_AREA_LAST_COL_NAME</vt:lpstr>
      <vt:lpstr>Schedule!RNG_WBS_COL_NAME</vt:lpstr>
      <vt:lpstr>Schedule!RNG_WBS_LEVEL_COL_NAME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Cindy Robinson</cp:lastModifiedBy>
  <cp:lastPrinted>2022-06-05T11:24:31Z</cp:lastPrinted>
  <dcterms:created xsi:type="dcterms:W3CDTF">2018-02-18T09:45:14Z</dcterms:created>
  <dcterms:modified xsi:type="dcterms:W3CDTF">2022-11-13T21:51:57Z</dcterms:modified>
</cp:coreProperties>
</file>